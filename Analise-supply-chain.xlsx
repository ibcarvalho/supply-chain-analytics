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ispersulrs-my.sharepoint.com/personal/henrique_ispersul_com_br/Documents/Área de Trabalho/Iago/Lista de projetos - Github/Projeto Marista/"/>
    </mc:Choice>
  </mc:AlternateContent>
  <xr:revisionPtr revIDLastSave="0" documentId="8_{3E1968D7-7DF7-4967-9258-802D3A04325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ornecedores" sheetId="1" r:id="rId1"/>
    <sheet name="Pedidos" sheetId="2" r:id="rId2"/>
    <sheet name="Analise" sheetId="3" r:id="rId3"/>
    <sheet name="Tabelas Dinamicas" sheetId="4" r:id="rId4"/>
    <sheet name="Painel KPIs" sheetId="5" r:id="rId5"/>
    <sheet name="Planilha3" sheetId="8" state="hidden" r:id="rId6"/>
    <sheet name="Planilha1" sheetId="6" state="hidden" r:id="rId7"/>
  </sheets>
  <externalReferences>
    <externalReference r:id="rId8"/>
  </externalReferences>
  <calcPr calcId="191029"/>
  <pivotCaches>
    <pivotCache cacheId="1" r:id="rId9"/>
  </pivotCaches>
</workbook>
</file>

<file path=xl/calcChain.xml><?xml version="1.0" encoding="utf-8"?>
<calcChain xmlns="http://schemas.openxmlformats.org/spreadsheetml/2006/main">
  <c r="F25" i="5" l="1"/>
  <c r="A25" i="5"/>
  <c r="F20" i="5"/>
  <c r="A20" i="5"/>
  <c r="F15" i="5"/>
  <c r="A15" i="5"/>
  <c r="N11" i="5"/>
  <c r="N10" i="5"/>
  <c r="F10" i="5"/>
  <c r="A10" i="5"/>
  <c r="N9" i="5"/>
  <c r="N8" i="5"/>
  <c r="N7" i="5"/>
  <c r="N6" i="5"/>
  <c r="N5" i="5"/>
  <c r="F5" i="5"/>
  <c r="A5" i="5"/>
  <c r="N4" i="5"/>
  <c r="N3" i="5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J19" i="3"/>
  <c r="I19" i="3"/>
  <c r="H19" i="3"/>
  <c r="G19" i="3"/>
  <c r="F19" i="3"/>
  <c r="E19" i="3"/>
  <c r="D19" i="3"/>
  <c r="C19" i="3"/>
  <c r="B19" i="3"/>
  <c r="J18" i="3"/>
  <c r="I18" i="3"/>
  <c r="H18" i="3"/>
  <c r="G18" i="3"/>
  <c r="F18" i="3"/>
  <c r="E18" i="3"/>
  <c r="D18" i="3"/>
  <c r="C18" i="3"/>
  <c r="B18" i="3"/>
  <c r="J17" i="3"/>
  <c r="I17" i="3"/>
  <c r="H17" i="3"/>
  <c r="G17" i="3"/>
  <c r="F17" i="3"/>
  <c r="E17" i="3"/>
  <c r="D17" i="3"/>
  <c r="C17" i="3"/>
  <c r="B17" i="3"/>
  <c r="J16" i="3"/>
  <c r="I16" i="3"/>
  <c r="H16" i="3"/>
  <c r="G16" i="3"/>
  <c r="F16" i="3"/>
  <c r="E16" i="3"/>
  <c r="D16" i="3"/>
  <c r="C16" i="3"/>
  <c r="B16" i="3"/>
  <c r="J15" i="3"/>
  <c r="I15" i="3"/>
  <c r="H15" i="3"/>
  <c r="G15" i="3"/>
  <c r="F15" i="3"/>
  <c r="E15" i="3"/>
  <c r="D15" i="3"/>
  <c r="C15" i="3"/>
  <c r="B15" i="3"/>
  <c r="J14" i="3"/>
  <c r="I14" i="3"/>
  <c r="H14" i="3"/>
  <c r="G14" i="3"/>
  <c r="F14" i="3"/>
  <c r="E14" i="3"/>
  <c r="D14" i="3"/>
  <c r="C14" i="3"/>
  <c r="B14" i="3"/>
  <c r="J13" i="3"/>
  <c r="I13" i="3"/>
  <c r="H13" i="3"/>
  <c r="G13" i="3"/>
  <c r="F13" i="3"/>
  <c r="E13" i="3"/>
  <c r="D13" i="3"/>
  <c r="C13" i="3"/>
  <c r="B13" i="3"/>
  <c r="J12" i="3"/>
  <c r="I12" i="3"/>
  <c r="H12" i="3"/>
  <c r="G12" i="3"/>
  <c r="F12" i="3"/>
  <c r="E12" i="3"/>
  <c r="D12" i="3"/>
  <c r="C12" i="3"/>
  <c r="B12" i="3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B7" i="3"/>
  <c r="J6" i="3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B5" i="3"/>
  <c r="J4" i="3"/>
  <c r="I4" i="3"/>
  <c r="H4" i="3"/>
  <c r="G4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<sst xmlns="http://schemas.openxmlformats.org/spreadsheetml/2006/main" count="3548" uniqueCount="774">
  <si>
    <t>ID</t>
  </si>
  <si>
    <t>Fornecedor</t>
  </si>
  <si>
    <t>CNPJ</t>
  </si>
  <si>
    <t>Categoria</t>
  </si>
  <si>
    <t>Cidade</t>
  </si>
  <si>
    <t>Ativo</t>
  </si>
  <si>
    <t>Prazo Dias</t>
  </si>
  <si>
    <t>Avaliacao</t>
  </si>
  <si>
    <t>TechSupply Ltda</t>
  </si>
  <si>
    <t>12.345.678/0001-01</t>
  </si>
  <si>
    <t>Tecnologia</t>
  </si>
  <si>
    <t>São Paulo</t>
  </si>
  <si>
    <t>OfficeMax Brasil</t>
  </si>
  <si>
    <t>23.456.789/0001-02</t>
  </si>
  <si>
    <t>Material de Escritório</t>
  </si>
  <si>
    <t>Porto Alegre</t>
  </si>
  <si>
    <t>PaperWork S.A.</t>
  </si>
  <si>
    <t>34.567.890/0001-03</t>
  </si>
  <si>
    <t>CleanPro Higiene</t>
  </si>
  <si>
    <t>45.678.901/0001-04</t>
  </si>
  <si>
    <t>Limpeza</t>
  </si>
  <si>
    <t>Caxias do Sul</t>
  </si>
  <si>
    <t>InfoEquip</t>
  </si>
  <si>
    <t>56.789.012/0001-05</t>
  </si>
  <si>
    <t>MobiDesk</t>
  </si>
  <si>
    <t>67.890.123/0001-06</t>
  </si>
  <si>
    <t>Mobiliário</t>
  </si>
  <si>
    <t>Curitiba</t>
  </si>
  <si>
    <t>PrinterBR</t>
  </si>
  <si>
    <t>78.901.234/0001-07</t>
  </si>
  <si>
    <t>Rio de Janeiro</t>
  </si>
  <si>
    <t>EduMaterial</t>
  </si>
  <si>
    <t>89.012.345/0001-08</t>
  </si>
  <si>
    <t>Material Didático</t>
  </si>
  <si>
    <t>SegurMax</t>
  </si>
  <si>
    <t>90.123.456/0001-09</t>
  </si>
  <si>
    <t>Segurança</t>
  </si>
  <si>
    <t>NetConnect</t>
  </si>
  <si>
    <t>01.234.567/0001-10</t>
  </si>
  <si>
    <t>AudioVisual Pro</t>
  </si>
  <si>
    <t>12.345.678/0001-11</t>
  </si>
  <si>
    <t>Audiovisual</t>
  </si>
  <si>
    <t>Belo Horizonte</t>
  </si>
  <si>
    <t>GráficaRio</t>
  </si>
  <si>
    <t>23.456.789/0001-12</t>
  </si>
  <si>
    <t>Gráfica</t>
  </si>
  <si>
    <t>CaféCerto</t>
  </si>
  <si>
    <t>34.567.890/0001-13</t>
  </si>
  <si>
    <t>Alimentação</t>
  </si>
  <si>
    <t>LimpaTudo</t>
  </si>
  <si>
    <t>45.678.901/0001-14</t>
  </si>
  <si>
    <t>UniBooks</t>
  </si>
  <si>
    <t>56.789.012/0001-15</t>
  </si>
  <si>
    <t>ID Pedido</t>
  </si>
  <si>
    <t>ID Produto</t>
  </si>
  <si>
    <t>Produto</t>
  </si>
  <si>
    <t>ID Forn</t>
  </si>
  <si>
    <t>Dt Solic</t>
  </si>
  <si>
    <t>Dt Prev</t>
  </si>
  <si>
    <t>Dt Real</t>
  </si>
  <si>
    <t>Qtde</t>
  </si>
  <si>
    <t>Preco Unit</t>
  </si>
  <si>
    <t>Valor Total</t>
  </si>
  <si>
    <t>Status</t>
  </si>
  <si>
    <t>Dias Atraso</t>
  </si>
  <si>
    <t>Lead Time</t>
  </si>
  <si>
    <t>Mes Num</t>
  </si>
  <si>
    <t>Mes Nome</t>
  </si>
  <si>
    <t>Trimestre</t>
  </si>
  <si>
    <t>Semestre</t>
  </si>
  <si>
    <t>PC-2024-0001</t>
  </si>
  <si>
    <t>Kit Educativo</t>
  </si>
  <si>
    <t>2024-11-23</t>
  </si>
  <si>
    <t>2024-11-30</t>
  </si>
  <si>
    <t>2024-12-06</t>
  </si>
  <si>
    <t>Entregue</t>
  </si>
  <si>
    <t>Nov</t>
  </si>
  <si>
    <t>Q4</t>
  </si>
  <si>
    <t>S2</t>
  </si>
  <si>
    <t>PC-2024-0002</t>
  </si>
  <si>
    <t>Notebook Dell</t>
  </si>
  <si>
    <t>2024-05-05</t>
  </si>
  <si>
    <t>2024-05-12</t>
  </si>
  <si>
    <t>May</t>
  </si>
  <si>
    <t>Q2</t>
  </si>
  <si>
    <t>S1</t>
  </si>
  <si>
    <t>PC-2024-0003</t>
  </si>
  <si>
    <t>Webcam HD</t>
  </si>
  <si>
    <t>2024-02-22</t>
  </si>
  <si>
    <t>2024-03-03</t>
  </si>
  <si>
    <t>Feb</t>
  </si>
  <si>
    <t>Q1</t>
  </si>
  <si>
    <t>PC-2024-0004</t>
  </si>
  <si>
    <t>Mouse Sem Fio</t>
  </si>
  <si>
    <t>2024-02-14</t>
  </si>
  <si>
    <t>2024-02-21</t>
  </si>
  <si>
    <t>PC-2024-0005</t>
  </si>
  <si>
    <t>Apostila impressa</t>
  </si>
  <si>
    <t>2024-01-16</t>
  </si>
  <si>
    <t>2024-01-23</t>
  </si>
  <si>
    <t>2024-01-25</t>
  </si>
  <si>
    <t>Jan</t>
  </si>
  <si>
    <t>PC-2024-0006</t>
  </si>
  <si>
    <t>Armário Aço</t>
  </si>
  <si>
    <t>2024-11-04</t>
  </si>
  <si>
    <t>2024-11-19</t>
  </si>
  <si>
    <t>2024-11-21</t>
  </si>
  <si>
    <t>PC-2024-0007</t>
  </si>
  <si>
    <t>Projetor Epson</t>
  </si>
  <si>
    <t>2024-11-28</t>
  </si>
  <si>
    <t>2024-12-10</t>
  </si>
  <si>
    <t>PC-2024-0008</t>
  </si>
  <si>
    <t>Detergente 5L</t>
  </si>
  <si>
    <t>2024-04-22</t>
  </si>
  <si>
    <t>2024-04-25</t>
  </si>
  <si>
    <t>Apr</t>
  </si>
  <si>
    <t>PC-2024-0009</t>
  </si>
  <si>
    <t>2024-01-04</t>
  </si>
  <si>
    <t>2024-01-19</t>
  </si>
  <si>
    <t>PC-2024-0010</t>
  </si>
  <si>
    <t>Mesa Escritório</t>
  </si>
  <si>
    <t>2024-12-23</t>
  </si>
  <si>
    <t>2025-01-07</t>
  </si>
  <si>
    <t>Dec</t>
  </si>
  <si>
    <t>PC-2024-0011</t>
  </si>
  <si>
    <t>Caneta Esferográfica cx</t>
  </si>
  <si>
    <t>2024-03-20</t>
  </si>
  <si>
    <t>2024-03-25</t>
  </si>
  <si>
    <t>Mar</t>
  </si>
  <si>
    <t>PC-2024-0012</t>
  </si>
  <si>
    <t>Grampeador</t>
  </si>
  <si>
    <t>2024-06-21</t>
  </si>
  <si>
    <t>2024-06-26</t>
  </si>
  <si>
    <t>2024-06-30</t>
  </si>
  <si>
    <t>Jun</t>
  </si>
  <si>
    <t>PC-2024-0013</t>
  </si>
  <si>
    <t>2024-07-02</t>
  </si>
  <si>
    <t>2024-07-17</t>
  </si>
  <si>
    <t>Jul</t>
  </si>
  <si>
    <t>Q3</t>
  </si>
  <si>
    <t>PC-2024-0014</t>
  </si>
  <si>
    <t>Papel Higiênico fardo</t>
  </si>
  <si>
    <t>2024-05-15</t>
  </si>
  <si>
    <t>2024-05-18</t>
  </si>
  <si>
    <t>PC-2024-0015</t>
  </si>
  <si>
    <t>2024-08-23</t>
  </si>
  <si>
    <t>2024-08-28</t>
  </si>
  <si>
    <t>Aug</t>
  </si>
  <si>
    <t>PC-2024-0016</t>
  </si>
  <si>
    <t>Switch 8 portas</t>
  </si>
  <si>
    <t>2024-02-10</t>
  </si>
  <si>
    <t>2024-02-20</t>
  </si>
  <si>
    <t>PC-2024-0017</t>
  </si>
  <si>
    <t>Resma de Papel A4</t>
  </si>
  <si>
    <t>2024-11-12</t>
  </si>
  <si>
    <t>2024-11-17</t>
  </si>
  <si>
    <t>PC-2024-0018</t>
  </si>
  <si>
    <t>Sabonete Líquido 5L</t>
  </si>
  <si>
    <t>2024-10-22</t>
  </si>
  <si>
    <t>2024-10-25</t>
  </si>
  <si>
    <t>2024-10-26</t>
  </si>
  <si>
    <t>Oct</t>
  </si>
  <si>
    <t>PC-2024-0019</t>
  </si>
  <si>
    <t>2024-12-04</t>
  </si>
  <si>
    <t>2024-12-09</t>
  </si>
  <si>
    <t>PC-2024-0020</t>
  </si>
  <si>
    <t>2024-02-13</t>
  </si>
  <si>
    <t>PC-2024-0021</t>
  </si>
  <si>
    <t>Cabo HDMI</t>
  </si>
  <si>
    <t>2024-07-13</t>
  </si>
  <si>
    <t>2024-07-23</t>
  </si>
  <si>
    <t>PC-2024-0022</t>
  </si>
  <si>
    <t>Estante</t>
  </si>
  <si>
    <t>2024-07-05</t>
  </si>
  <si>
    <t>2024-07-20</t>
  </si>
  <si>
    <t>PC-2024-0023</t>
  </si>
  <si>
    <t>Álcool Gel 5L</t>
  </si>
  <si>
    <t>2024-12-12</t>
  </si>
  <si>
    <t>2024-12-20</t>
  </si>
  <si>
    <t>PC-2024-0024</t>
  </si>
  <si>
    <t>2024-12-15</t>
  </si>
  <si>
    <t>2024-12-27</t>
  </si>
  <si>
    <t>PC-2024-0025</t>
  </si>
  <si>
    <t>2024-11-24</t>
  </si>
  <si>
    <t>PC-2024-0026</t>
  </si>
  <si>
    <t>2024-03-24</t>
  </si>
  <si>
    <t>2024-03-27</t>
  </si>
  <si>
    <t>PC-2024-0027</t>
  </si>
  <si>
    <t>PC-2024-0028</t>
  </si>
  <si>
    <t>2024-12-16</t>
  </si>
  <si>
    <t>2024-12-26</t>
  </si>
  <si>
    <t>PC-2024-0029</t>
  </si>
  <si>
    <t>2024-01-29</t>
  </si>
  <si>
    <t>2024-02-03</t>
  </si>
  <si>
    <t>PC-2024-0030</t>
  </si>
  <si>
    <t>2024-06-10</t>
  </si>
  <si>
    <t>2024-06-13</t>
  </si>
  <si>
    <t>PC-2024-0031</t>
  </si>
  <si>
    <t>2024-04-18</t>
  </si>
  <si>
    <t>2024-04-21</t>
  </si>
  <si>
    <t>PC-2024-0032</t>
  </si>
  <si>
    <t>Cadeira Ergonômica</t>
  </si>
  <si>
    <t>2024-06-25</t>
  </si>
  <si>
    <t>PC-2024-0033</t>
  </si>
  <si>
    <t>2024-07-21</t>
  </si>
  <si>
    <t>2024-07-28</t>
  </si>
  <si>
    <t>PC-2024-0034</t>
  </si>
  <si>
    <t>2024-08-22</t>
  </si>
  <si>
    <t>2024-09-01</t>
  </si>
  <si>
    <t>2024-09-03</t>
  </si>
  <si>
    <t>PC-2024-0035</t>
  </si>
  <si>
    <t>2024-10-14</t>
  </si>
  <si>
    <t>2024-10-19</t>
  </si>
  <si>
    <t>PC-2024-0036</t>
  </si>
  <si>
    <t>2024-11-02</t>
  </si>
  <si>
    <t>PC-2024-0037</t>
  </si>
  <si>
    <t>Caixa de Som</t>
  </si>
  <si>
    <t>2024-08-04</t>
  </si>
  <si>
    <t>PC-2024-0038</t>
  </si>
  <si>
    <t>2024-09-17</t>
  </si>
  <si>
    <t>2024-10-02</t>
  </si>
  <si>
    <t>Sep</t>
  </si>
  <si>
    <t>PC-2024-0039</t>
  </si>
  <si>
    <t>2024-02-04</t>
  </si>
  <si>
    <t>PC-2024-0040</t>
  </si>
  <si>
    <t>Marcador Quadro cx</t>
  </si>
  <si>
    <t>2024-11-22</t>
  </si>
  <si>
    <t>PC-2024-0041</t>
  </si>
  <si>
    <t>2024-11-01</t>
  </si>
  <si>
    <t>2024-11-06</t>
  </si>
  <si>
    <t>2024-11-10</t>
  </si>
  <si>
    <t>PC-2024-0042</t>
  </si>
  <si>
    <t>2024-08-27</t>
  </si>
  <si>
    <t>2024-08-30</t>
  </si>
  <si>
    <t>PC-2024-0043</t>
  </si>
  <si>
    <t>Apagador</t>
  </si>
  <si>
    <t>2024-01-06</t>
  </si>
  <si>
    <t>2024-01-11</t>
  </si>
  <si>
    <t>PC-2024-0044</t>
  </si>
  <si>
    <t>2024-12-22</t>
  </si>
  <si>
    <t>PC-2024-0045</t>
  </si>
  <si>
    <t>2024-05-16</t>
  </si>
  <si>
    <t>2024-05-23</t>
  </si>
  <si>
    <t>PC-2024-0046</t>
  </si>
  <si>
    <t>2024-02-27</t>
  </si>
  <si>
    <t>2024-03-10</t>
  </si>
  <si>
    <t>PC-2024-0047</t>
  </si>
  <si>
    <t>2024-08-20</t>
  </si>
  <si>
    <t>2024-09-04</t>
  </si>
  <si>
    <t>2024-09-10</t>
  </si>
  <si>
    <t>PC-2024-0048</t>
  </si>
  <si>
    <t>2024-05-14</t>
  </si>
  <si>
    <t>2024-05-21</t>
  </si>
  <si>
    <t>PC-2024-0049</t>
  </si>
  <si>
    <t>Teclado USB</t>
  </si>
  <si>
    <t>2024-04-01</t>
  </si>
  <si>
    <t>2024-04-08</t>
  </si>
  <si>
    <t>PC-2024-0050</t>
  </si>
  <si>
    <t>2024-11-16</t>
  </si>
  <si>
    <t>PC-2024-0051</t>
  </si>
  <si>
    <t>2024-09-16</t>
  </si>
  <si>
    <t>2024-10-01</t>
  </si>
  <si>
    <t>PC-2024-0052</t>
  </si>
  <si>
    <t>2024-07-10</t>
  </si>
  <si>
    <t>2024-07-22</t>
  </si>
  <si>
    <t>PC-2024-0053</t>
  </si>
  <si>
    <t>2024-09-28</t>
  </si>
  <si>
    <t>2024-10-05</t>
  </si>
  <si>
    <t>PC-2024-0054</t>
  </si>
  <si>
    <t>2024-06-14</t>
  </si>
  <si>
    <t>2024-06-29</t>
  </si>
  <si>
    <t>PC-2024-0055</t>
  </si>
  <si>
    <t>2024-07-04</t>
  </si>
  <si>
    <t>2024-07-14</t>
  </si>
  <si>
    <t>PC-2024-0056</t>
  </si>
  <si>
    <t>Calculadora</t>
  </si>
  <si>
    <t>2024-05-02</t>
  </si>
  <si>
    <t>2024-05-07</t>
  </si>
  <si>
    <t>PC-2024-0057</t>
  </si>
  <si>
    <t>Desinfetante 5L</t>
  </si>
  <si>
    <t>2024-02-16</t>
  </si>
  <si>
    <t>PC-2024-0058</t>
  </si>
  <si>
    <t>Livro Didático</t>
  </si>
  <si>
    <t>2024-09-29</t>
  </si>
  <si>
    <t>2024-10-06</t>
  </si>
  <si>
    <t>PC-2024-0059</t>
  </si>
  <si>
    <t>Quadro Branco</t>
  </si>
  <si>
    <t>2024-12-03</t>
  </si>
  <si>
    <t>2024-12-18</t>
  </si>
  <si>
    <t>PC-2024-0060</t>
  </si>
  <si>
    <t>2024-03-28</t>
  </si>
  <si>
    <t>2024-04-05</t>
  </si>
  <si>
    <t>PC-2024-0061</t>
  </si>
  <si>
    <t>2024-11-13</t>
  </si>
  <si>
    <t>PC-2024-0062</t>
  </si>
  <si>
    <t>Roteador WiFi</t>
  </si>
  <si>
    <t>2024-10-03</t>
  </si>
  <si>
    <t>2024-10-13</t>
  </si>
  <si>
    <t>PC-2024-0063</t>
  </si>
  <si>
    <t>2024-04-12</t>
  </si>
  <si>
    <t>2024-04-17</t>
  </si>
  <si>
    <t>PC-2024-0064</t>
  </si>
  <si>
    <t>2024-12-14</t>
  </si>
  <si>
    <t>PC-2024-0065</t>
  </si>
  <si>
    <t>2024-09-21</t>
  </si>
  <si>
    <t>PC-2024-0066</t>
  </si>
  <si>
    <t>2024-05-10</t>
  </si>
  <si>
    <t>2024-05-11</t>
  </si>
  <si>
    <t>PC-2024-0067</t>
  </si>
  <si>
    <t>2024-10-10</t>
  </si>
  <si>
    <t>2024-10-20</t>
  </si>
  <si>
    <t>PC-2024-0068</t>
  </si>
  <si>
    <t>2024-01-17</t>
  </si>
  <si>
    <t>PC-2024-0069</t>
  </si>
  <si>
    <t>2024-04-27</t>
  </si>
  <si>
    <t>2024-04-30</t>
  </si>
  <si>
    <t>2024-05-01</t>
  </si>
  <si>
    <t>PC-2024-0070</t>
  </si>
  <si>
    <t>2024-02-06</t>
  </si>
  <si>
    <t>2024-02-09</t>
  </si>
  <si>
    <t>PC-2024-0071</t>
  </si>
  <si>
    <t>2024-12-08</t>
  </si>
  <si>
    <t>PC-2024-0072</t>
  </si>
  <si>
    <t>2024-03-08</t>
  </si>
  <si>
    <t>2024-03-13</t>
  </si>
  <si>
    <t>PC-2024-0073</t>
  </si>
  <si>
    <t>2024-11-03</t>
  </si>
  <si>
    <t>PC-2024-0074</t>
  </si>
  <si>
    <t>2024-07-27</t>
  </si>
  <si>
    <t>2024-08-03</t>
  </si>
  <si>
    <t>PC-2024-0075</t>
  </si>
  <si>
    <t>2024-08-08</t>
  </si>
  <si>
    <t>2024-08-15</t>
  </si>
  <si>
    <t>PC-2024-0076</t>
  </si>
  <si>
    <t>2024-09-06</t>
  </si>
  <si>
    <t>PC-2024-0077</t>
  </si>
  <si>
    <t>PC-2024-0078</t>
  </si>
  <si>
    <t>2024-03-01</t>
  </si>
  <si>
    <t>2024-03-07</t>
  </si>
  <si>
    <t>PC-2024-0079</t>
  </si>
  <si>
    <t>2024-02-25</t>
  </si>
  <si>
    <t>2024-02-28</t>
  </si>
  <si>
    <t>PC-2024-0080</t>
  </si>
  <si>
    <t>2024-10-08</t>
  </si>
  <si>
    <t>PC-2024-0081</t>
  </si>
  <si>
    <t>2024-04-03</t>
  </si>
  <si>
    <t>PC-2024-0082</t>
  </si>
  <si>
    <t>2024-02-08</t>
  </si>
  <si>
    <t>PC-2024-0083</t>
  </si>
  <si>
    <t>2024-03-06</t>
  </si>
  <si>
    <t>PC-2024-0084</t>
  </si>
  <si>
    <t>2024-02-17</t>
  </si>
  <si>
    <t>PC-2024-0085</t>
  </si>
  <si>
    <t>2024-03-26</t>
  </si>
  <si>
    <t>2024-03-29</t>
  </si>
  <si>
    <t>PC-2024-0086</t>
  </si>
  <si>
    <t>2024-04-19</t>
  </si>
  <si>
    <t>2024-04-24</t>
  </si>
  <si>
    <t>PC-2024-0087</t>
  </si>
  <si>
    <t>2024-04-09</t>
  </si>
  <si>
    <t>PC-2024-0088</t>
  </si>
  <si>
    <t>2024-05-27</t>
  </si>
  <si>
    <t>PC-2024-0089</t>
  </si>
  <si>
    <t>2024-05-26</t>
  </si>
  <si>
    <t>2024-06-05</t>
  </si>
  <si>
    <t>PC-2024-0090</t>
  </si>
  <si>
    <t>2024-10-11</t>
  </si>
  <si>
    <t>2024-10-16</t>
  </si>
  <si>
    <t>PC-2024-0091</t>
  </si>
  <si>
    <t>Pasta Arquivo</t>
  </si>
  <si>
    <t>PC-2024-0092</t>
  </si>
  <si>
    <t>2024-10-23</t>
  </si>
  <si>
    <t>PC-2024-0093</t>
  </si>
  <si>
    <t>2024-06-09</t>
  </si>
  <si>
    <t>PC-2024-0094</t>
  </si>
  <si>
    <t>2024-09-14</t>
  </si>
  <si>
    <t>PC-2024-0095</t>
  </si>
  <si>
    <t>2024-03-21</t>
  </si>
  <si>
    <t>2024-04-02</t>
  </si>
  <si>
    <t>PC-2024-0096</t>
  </si>
  <si>
    <t>2024-04-20</t>
  </si>
  <si>
    <t>PC-2024-0097</t>
  </si>
  <si>
    <t>PC-2024-0098</t>
  </si>
  <si>
    <t>2024-05-06</t>
  </si>
  <si>
    <t>PC-2024-0099</t>
  </si>
  <si>
    <t>2024-11-18</t>
  </si>
  <si>
    <t>PC-2024-0100</t>
  </si>
  <si>
    <t>PC-2024-0101</t>
  </si>
  <si>
    <t>2024-04-14</t>
  </si>
  <si>
    <t>PC-2024-0102</t>
  </si>
  <si>
    <t>PC-2024-0103</t>
  </si>
  <si>
    <t>PC-2024-0104</t>
  </si>
  <si>
    <t>2024-06-15</t>
  </si>
  <si>
    <t>PC-2024-0105</t>
  </si>
  <si>
    <t>PC-2024-0106</t>
  </si>
  <si>
    <t>2024-02-26</t>
  </si>
  <si>
    <t>PC-2024-0107</t>
  </si>
  <si>
    <t>PC-2024-0108</t>
  </si>
  <si>
    <t>PC-2024-0109</t>
  </si>
  <si>
    <t>2024-08-12</t>
  </si>
  <si>
    <t>2024-08-19</t>
  </si>
  <si>
    <t>PC-2024-0110</t>
  </si>
  <si>
    <t>2024-06-03</t>
  </si>
  <si>
    <t>2024-06-18</t>
  </si>
  <si>
    <t>PC-2024-0111</t>
  </si>
  <si>
    <t>2024-09-27</t>
  </si>
  <si>
    <t>2024-10-04</t>
  </si>
  <si>
    <t>PC-2024-0112</t>
  </si>
  <si>
    <t>2024-06-02</t>
  </si>
  <si>
    <t>2024-06-17</t>
  </si>
  <si>
    <t>PC-2024-0113</t>
  </si>
  <si>
    <t>2024-03-09</t>
  </si>
  <si>
    <t>2024-03-12</t>
  </si>
  <si>
    <t>PC-2024-0114</t>
  </si>
  <si>
    <t>PC-2024-0115</t>
  </si>
  <si>
    <t>PC-2024-0116</t>
  </si>
  <si>
    <t>2024-12-17</t>
  </si>
  <si>
    <t>2024-12-28</t>
  </si>
  <si>
    <t>PC-2024-0117</t>
  </si>
  <si>
    <t>2024-09-07</t>
  </si>
  <si>
    <t>PC-2024-0118</t>
  </si>
  <si>
    <t>PC-2024-0119</t>
  </si>
  <si>
    <t>2024-02-07</t>
  </si>
  <si>
    <t>PC-2024-0120</t>
  </si>
  <si>
    <t>2024-11-27</t>
  </si>
  <si>
    <t>PC-2024-0121</t>
  </si>
  <si>
    <t>2024-08-14</t>
  </si>
  <si>
    <t>2024-08-17</t>
  </si>
  <si>
    <t>PC-2024-0122</t>
  </si>
  <si>
    <t>2024-10-29</t>
  </si>
  <si>
    <t>2024-10-30</t>
  </si>
  <si>
    <t>PC-2024-0123</t>
  </si>
  <si>
    <t>2024-03-17</t>
  </si>
  <si>
    <t>PC-2024-0124</t>
  </si>
  <si>
    <t>2024-11-09</t>
  </si>
  <si>
    <t>PC-2024-0125</t>
  </si>
  <si>
    <t>2024-03-16</t>
  </si>
  <si>
    <t>PC-2024-0126</t>
  </si>
  <si>
    <t>PC-2024-0127</t>
  </si>
  <si>
    <t>2024-12-07</t>
  </si>
  <si>
    <t>2024-12-29</t>
  </si>
  <si>
    <t>PC-2024-0128</t>
  </si>
  <si>
    <t>2024-08-06</t>
  </si>
  <si>
    <t>PC-2024-0129</t>
  </si>
  <si>
    <t>PC-2024-0130</t>
  </si>
  <si>
    <t>2024-03-31</t>
  </si>
  <si>
    <t>PC-2024-0131</t>
  </si>
  <si>
    <t>2024-07-30</t>
  </si>
  <si>
    <t>2024-08-02</t>
  </si>
  <si>
    <t>PC-2024-0132</t>
  </si>
  <si>
    <t>2024-07-29</t>
  </si>
  <si>
    <t>PC-2024-0133</t>
  </si>
  <si>
    <t>PC-2024-0134</t>
  </si>
  <si>
    <t>PC-2024-0135</t>
  </si>
  <si>
    <t>2024-09-09</t>
  </si>
  <si>
    <t>PC-2024-0136</t>
  </si>
  <si>
    <t>Monitor 24"</t>
  </si>
  <si>
    <t>2024-06-28</t>
  </si>
  <si>
    <t>PC-2024-0137</t>
  </si>
  <si>
    <t>2024-05-09</t>
  </si>
  <si>
    <t>PC-2024-0138</t>
  </si>
  <si>
    <t>PC-2024-0139</t>
  </si>
  <si>
    <t>2024-05-22</t>
  </si>
  <si>
    <t>2024-05-29</t>
  </si>
  <si>
    <t>PC-2024-0140</t>
  </si>
  <si>
    <t>PC-2024-0141</t>
  </si>
  <si>
    <t>PC-2024-0142</t>
  </si>
  <si>
    <t>2024-05-13</t>
  </si>
  <si>
    <t>PC-2024-0143</t>
  </si>
  <si>
    <t>PC-2024-0144</t>
  </si>
  <si>
    <t>PC-2024-0145</t>
  </si>
  <si>
    <t>2024-02-29</t>
  </si>
  <si>
    <t>2024-03-05</t>
  </si>
  <si>
    <t>PC-2024-0146</t>
  </si>
  <si>
    <t>2024-04-07</t>
  </si>
  <si>
    <t>PC-2024-0147</t>
  </si>
  <si>
    <t>2024-08-11</t>
  </si>
  <si>
    <t>2024-08-16</t>
  </si>
  <si>
    <t>PC-2024-0148</t>
  </si>
  <si>
    <t>PC-2024-0149</t>
  </si>
  <si>
    <t>PC-2024-0150</t>
  </si>
  <si>
    <t>PC-2024-0151</t>
  </si>
  <si>
    <t>2024-06-12</t>
  </si>
  <si>
    <t>PC-2024-0152</t>
  </si>
  <si>
    <t>PC-2024-0153</t>
  </si>
  <si>
    <t>2024-08-07</t>
  </si>
  <si>
    <t>PC-2024-0154</t>
  </si>
  <si>
    <t>2024-05-31</t>
  </si>
  <si>
    <t>PC-2024-0155</t>
  </si>
  <si>
    <t>PC-2024-0156</t>
  </si>
  <si>
    <t>2024-12-24</t>
  </si>
  <si>
    <t>PC-2024-0157</t>
  </si>
  <si>
    <t>2024-11-11</t>
  </si>
  <si>
    <t>2024-11-14</t>
  </si>
  <si>
    <t>PC-2024-0158</t>
  </si>
  <si>
    <t>2024-10-07</t>
  </si>
  <si>
    <t>2024-10-12</t>
  </si>
  <si>
    <t>PC-2024-0159</t>
  </si>
  <si>
    <t>PC-2024-0160</t>
  </si>
  <si>
    <t>PC-2024-0161</t>
  </si>
  <si>
    <t>2024-08-29</t>
  </si>
  <si>
    <t>PC-2024-0162</t>
  </si>
  <si>
    <t>2024-09-18</t>
  </si>
  <si>
    <t>PC-2024-0163</t>
  </si>
  <si>
    <t>2024-04-11</t>
  </si>
  <si>
    <t>PC-2024-0164</t>
  </si>
  <si>
    <t>2024-09-20</t>
  </si>
  <si>
    <t>PC-2024-0165</t>
  </si>
  <si>
    <t>2024-06-20</t>
  </si>
  <si>
    <t>2024-06-23</t>
  </si>
  <si>
    <t>PC-2024-0166</t>
  </si>
  <si>
    <t>PC-2024-0167</t>
  </si>
  <si>
    <t>PC-2024-0168</t>
  </si>
  <si>
    <t>2024-08-31</t>
  </si>
  <si>
    <t>2024-09-05</t>
  </si>
  <si>
    <t>PC-2024-0169</t>
  </si>
  <si>
    <t>PC-2024-0170</t>
  </si>
  <si>
    <t>2024-10-21</t>
  </si>
  <si>
    <t>2024-10-28</t>
  </si>
  <si>
    <t>PC-2024-0171</t>
  </si>
  <si>
    <t>PC-2024-0172</t>
  </si>
  <si>
    <t>2024-12-01</t>
  </si>
  <si>
    <t>2024-12-13</t>
  </si>
  <si>
    <t>PC-2024-0173</t>
  </si>
  <si>
    <t>2024-02-24</t>
  </si>
  <si>
    <t>2024-03-02</t>
  </si>
  <si>
    <t>PC-2024-0174</t>
  </si>
  <si>
    <t>PC-2024-0175</t>
  </si>
  <si>
    <t>2024-09-22</t>
  </si>
  <si>
    <t>PC-2024-0176</t>
  </si>
  <si>
    <t>PC-2024-0177</t>
  </si>
  <si>
    <t>2024-08-21</t>
  </si>
  <si>
    <t>2024-08-24</t>
  </si>
  <si>
    <t>PC-2024-0178</t>
  </si>
  <si>
    <t>PC-2024-0179</t>
  </si>
  <si>
    <t>2024-06-11</t>
  </si>
  <si>
    <t>2024-06-16</t>
  </si>
  <si>
    <t>PC-2024-0180</t>
  </si>
  <si>
    <t>PC-2024-0181</t>
  </si>
  <si>
    <t>2024-08-13</t>
  </si>
  <si>
    <t>PC-2024-0182</t>
  </si>
  <si>
    <t>2024-08-26</t>
  </si>
  <si>
    <t>PC-2024-0183</t>
  </si>
  <si>
    <t>PC-2024-0184</t>
  </si>
  <si>
    <t>PC-2024-0185</t>
  </si>
  <si>
    <t>2024-09-23</t>
  </si>
  <si>
    <t>PC-2024-0186</t>
  </si>
  <si>
    <t>2024-05-20</t>
  </si>
  <si>
    <t>PC-2024-0187</t>
  </si>
  <si>
    <t>PC-2024-0188</t>
  </si>
  <si>
    <t>2024-06-22</t>
  </si>
  <si>
    <t>PC-2024-0189</t>
  </si>
  <si>
    <t>2024-03-11</t>
  </si>
  <si>
    <t>2024-03-18</t>
  </si>
  <si>
    <t>2024-03-22</t>
  </si>
  <si>
    <t>PC-2024-0190</t>
  </si>
  <si>
    <t>2024-03-19</t>
  </si>
  <si>
    <t>PC-2024-0191</t>
  </si>
  <si>
    <t>2024-07-31</t>
  </si>
  <si>
    <t>PC-2024-0192</t>
  </si>
  <si>
    <t>PC-2024-0193</t>
  </si>
  <si>
    <t>PC-2024-0194</t>
  </si>
  <si>
    <t>PC-2024-0195</t>
  </si>
  <si>
    <t>2024-10-24</t>
  </si>
  <si>
    <t>PC-2024-0196</t>
  </si>
  <si>
    <t>2024-07-06</t>
  </si>
  <si>
    <t>PC-2024-0197</t>
  </si>
  <si>
    <t>PC-2024-0198</t>
  </si>
  <si>
    <t>PC-2024-0199</t>
  </si>
  <si>
    <t>2024-09-13</t>
  </si>
  <si>
    <t>PC-2024-0200</t>
  </si>
  <si>
    <t>PC-2024-0201</t>
  </si>
  <si>
    <t>PC-2024-0202</t>
  </si>
  <si>
    <t>2024-03-30</t>
  </si>
  <si>
    <t>PC-2024-0203</t>
  </si>
  <si>
    <t>PC-2024-0204</t>
  </si>
  <si>
    <t>PC-2024-0205</t>
  </si>
  <si>
    <t>2024-02-12</t>
  </si>
  <si>
    <t>2024-02-15</t>
  </si>
  <si>
    <t>PC-2024-0206</t>
  </si>
  <si>
    <t>2024-09-08</t>
  </si>
  <si>
    <t>2024-09-11</t>
  </si>
  <si>
    <t>PC-2024-0207</t>
  </si>
  <si>
    <t>PC-2024-0208</t>
  </si>
  <si>
    <t>PC-2024-0209</t>
  </si>
  <si>
    <t>PC-2024-0210</t>
  </si>
  <si>
    <t>PC-2024-0211</t>
  </si>
  <si>
    <t>2024-01-10</t>
  </si>
  <si>
    <t>2024-01-22</t>
  </si>
  <si>
    <t>PC-2024-0212</t>
  </si>
  <si>
    <t>2024-07-03</t>
  </si>
  <si>
    <t>PC-2024-0213</t>
  </si>
  <si>
    <t>2024-11-29</t>
  </si>
  <si>
    <t>2024-12-05</t>
  </si>
  <si>
    <t>PC-2024-0214</t>
  </si>
  <si>
    <t>PC-2024-0215</t>
  </si>
  <si>
    <t>PC-2024-0216</t>
  </si>
  <si>
    <t>PC-2024-0217</t>
  </si>
  <si>
    <t>2024-12-31</t>
  </si>
  <si>
    <t>PC-2024-0218</t>
  </si>
  <si>
    <t>PC-2024-0219</t>
  </si>
  <si>
    <t>PC-2024-0220</t>
  </si>
  <si>
    <t>2024-06-08</t>
  </si>
  <si>
    <t>PC-2024-0221</t>
  </si>
  <si>
    <t>PC-2024-0222</t>
  </si>
  <si>
    <t>PC-2024-0223</t>
  </si>
  <si>
    <t>PC-2024-0224</t>
  </si>
  <si>
    <t>2024-05-04</t>
  </si>
  <si>
    <t>2024-05-19</t>
  </si>
  <si>
    <t>PC-2024-0225</t>
  </si>
  <si>
    <t>2024-12-19</t>
  </si>
  <si>
    <t>PC-2024-0226</t>
  </si>
  <si>
    <t>2024-10-31</t>
  </si>
  <si>
    <t>PC-2024-0227</t>
  </si>
  <si>
    <t>PC-2024-0228</t>
  </si>
  <si>
    <t>2024-02-05</t>
  </si>
  <si>
    <t>PC-2024-0229</t>
  </si>
  <si>
    <t>2024-01-07</t>
  </si>
  <si>
    <t>2024-01-12</t>
  </si>
  <si>
    <t>PC-2024-0230</t>
  </si>
  <si>
    <t>PC-2024-0231</t>
  </si>
  <si>
    <t>2024-11-26</t>
  </si>
  <si>
    <t>PC-2024-0232</t>
  </si>
  <si>
    <t>2025-01-02</t>
  </si>
  <si>
    <t>PC-2024-0233</t>
  </si>
  <si>
    <t>2024-09-24</t>
  </si>
  <si>
    <t>PC-2024-0234</t>
  </si>
  <si>
    <t>PC-2024-0235</t>
  </si>
  <si>
    <t>PC-2024-0236</t>
  </si>
  <si>
    <t>PC-2024-0237</t>
  </si>
  <si>
    <t>PC-2024-0238</t>
  </si>
  <si>
    <t>PC-2024-0239</t>
  </si>
  <si>
    <t>2024-11-08</t>
  </si>
  <si>
    <t>2024-11-15</t>
  </si>
  <si>
    <t>PC-2024-0240</t>
  </si>
  <si>
    <t>2024-01-15</t>
  </si>
  <si>
    <t>2024-01-30</t>
  </si>
  <si>
    <t>PC-2024-0241</t>
  </si>
  <si>
    <t>PC-2024-0242</t>
  </si>
  <si>
    <t>PC-2024-0243</t>
  </si>
  <si>
    <t>2024-12-25</t>
  </si>
  <si>
    <t>2025-01-04</t>
  </si>
  <si>
    <t>PC-2024-0244</t>
  </si>
  <si>
    <t>2024-01-21</t>
  </si>
  <si>
    <t>PC-2024-0245</t>
  </si>
  <si>
    <t>PC-2024-0246</t>
  </si>
  <si>
    <t>PC-2024-0247</t>
  </si>
  <si>
    <t>PC-2024-0248</t>
  </si>
  <si>
    <t>PC-2024-0249</t>
  </si>
  <si>
    <t>PC-2024-0250</t>
  </si>
  <si>
    <t>PC-2024-0251</t>
  </si>
  <si>
    <t>PC-2024-0252</t>
  </si>
  <si>
    <t>PC-2024-0253</t>
  </si>
  <si>
    <t>PC-2024-0254</t>
  </si>
  <si>
    <t>PC-2024-0255</t>
  </si>
  <si>
    <t>2024-04-28</t>
  </si>
  <si>
    <t>2024-05-03</t>
  </si>
  <si>
    <t>PC-2024-0256</t>
  </si>
  <si>
    <t>PC-2024-0257</t>
  </si>
  <si>
    <t>PC-2024-0258</t>
  </si>
  <si>
    <t>PC-2024-0259</t>
  </si>
  <si>
    <t>2024-09-25</t>
  </si>
  <si>
    <t>PC-2024-0260</t>
  </si>
  <si>
    <t>PC-2024-0261</t>
  </si>
  <si>
    <t>2024-04-06</t>
  </si>
  <si>
    <t>PC-2024-0262</t>
  </si>
  <si>
    <t>2024-09-30</t>
  </si>
  <si>
    <t>PC-2024-0263</t>
  </si>
  <si>
    <t>2024-10-17</t>
  </si>
  <si>
    <t>PC-2024-0264</t>
  </si>
  <si>
    <t>PC-2024-0265</t>
  </si>
  <si>
    <t>PC-2024-0266</t>
  </si>
  <si>
    <t>2024-05-25</t>
  </si>
  <si>
    <t>2024-06-06</t>
  </si>
  <si>
    <t>PC-2024-0267</t>
  </si>
  <si>
    <t>2024-07-08</t>
  </si>
  <si>
    <t>2024-07-09</t>
  </si>
  <si>
    <t>PC-2024-0268</t>
  </si>
  <si>
    <t>PC-2024-0269</t>
  </si>
  <si>
    <t>2024-09-15</t>
  </si>
  <si>
    <t>PC-2024-0270</t>
  </si>
  <si>
    <t>2024-01-28</t>
  </si>
  <si>
    <t>2024-02-02</t>
  </si>
  <si>
    <t>PC-2024-0271</t>
  </si>
  <si>
    <t>2024-06-04</t>
  </si>
  <si>
    <t>PC-2024-0272</t>
  </si>
  <si>
    <t>2024-10-15</t>
  </si>
  <si>
    <t>PC-2024-0273</t>
  </si>
  <si>
    <t>PC-2024-0274</t>
  </si>
  <si>
    <t>2024-10-09</t>
  </si>
  <si>
    <t>PC-2024-0275</t>
  </si>
  <si>
    <t>2024-06-01</t>
  </si>
  <si>
    <t>PC-2024-0276</t>
  </si>
  <si>
    <t>PC-2024-0277</t>
  </si>
  <si>
    <t>PC-2024-0278</t>
  </si>
  <si>
    <t>2024-04-16</t>
  </si>
  <si>
    <t>PC-2024-0279</t>
  </si>
  <si>
    <t>PC-2024-0280</t>
  </si>
  <si>
    <t>PC-2024-0281</t>
  </si>
  <si>
    <t>2024-08-18</t>
  </si>
  <si>
    <t>2024-09-02</t>
  </si>
  <si>
    <t>PC-2024-0282</t>
  </si>
  <si>
    <t>PC-2024-0283</t>
  </si>
  <si>
    <t>2024-05-24</t>
  </si>
  <si>
    <t>PC-2024-0284</t>
  </si>
  <si>
    <t>PC-2024-0285</t>
  </si>
  <si>
    <t>PC-2024-0286</t>
  </si>
  <si>
    <t>2024-08-05</t>
  </si>
  <si>
    <t>2024-08-10</t>
  </si>
  <si>
    <t>PC-2024-0287</t>
  </si>
  <si>
    <t>PC-2024-0288</t>
  </si>
  <si>
    <t>PC-2024-0289</t>
  </si>
  <si>
    <t>2024-11-05</t>
  </si>
  <si>
    <t>PC-2024-0290</t>
  </si>
  <si>
    <t>PC-2024-0291</t>
  </si>
  <si>
    <t>PC-2024-0292</t>
  </si>
  <si>
    <t>2024-06-07</t>
  </si>
  <si>
    <t>PC-2024-0293</t>
  </si>
  <si>
    <t>2024-09-12</t>
  </si>
  <si>
    <t>PC-2024-0294</t>
  </si>
  <si>
    <t>2024-01-26</t>
  </si>
  <si>
    <t>PC-2024-0295</t>
  </si>
  <si>
    <t>2024-06-19</t>
  </si>
  <si>
    <t>PC-2024-0296</t>
  </si>
  <si>
    <t>2024-02-19</t>
  </si>
  <si>
    <t>PC-2024-0297</t>
  </si>
  <si>
    <t>PC-2024-0298</t>
  </si>
  <si>
    <t>PC-2024-0299</t>
  </si>
  <si>
    <t>PC-2024-0300</t>
  </si>
  <si>
    <t>ID Fonr</t>
  </si>
  <si>
    <t xml:space="preserve">Prazo Padrao </t>
  </si>
  <si>
    <t>Classificacao</t>
  </si>
  <si>
    <t>Prazo Padrao</t>
  </si>
  <si>
    <t>Total Pedidos</t>
  </si>
  <si>
    <t>Total</t>
  </si>
  <si>
    <t>Entregues</t>
  </si>
  <si>
    <t xml:space="preserve">Atrasados </t>
  </si>
  <si>
    <t>% Atraso</t>
  </si>
  <si>
    <t>Baixo 1-5d</t>
  </si>
  <si>
    <t>Medio 6-10d</t>
  </si>
  <si>
    <t>Critico +10d</t>
  </si>
  <si>
    <t>Meta OK?</t>
  </si>
  <si>
    <t>Rótulos de Linha</t>
  </si>
  <si>
    <t>Total Geral</t>
  </si>
  <si>
    <t>Rótulos de Coluna</t>
  </si>
  <si>
    <t>Soma de Valor Total</t>
  </si>
  <si>
    <t>Pedidos Entregues</t>
  </si>
  <si>
    <t>Pedidos Atrasados</t>
  </si>
  <si>
    <t>Taxa no Prazo</t>
  </si>
  <si>
    <t>Valor em Atraso</t>
  </si>
  <si>
    <t>Lead Time Médio</t>
  </si>
  <si>
    <t>Fornecedores Ativos</t>
  </si>
  <si>
    <t>Contagem de Dias Atraso</t>
  </si>
  <si>
    <t>Média de Lead Time</t>
  </si>
  <si>
    <t>Coluna1</t>
  </si>
  <si>
    <t>Coluna2</t>
  </si>
  <si>
    <t>Taxa Atraso</t>
  </si>
  <si>
    <t xml:space="preserve">TABELAS DINÂMICAS </t>
  </si>
  <si>
    <t>TD1 · Valor Total (R$) por Trimestre × Categoria</t>
  </si>
  <si>
    <t>TD2 · Pedidos Atrasados por Fornecedor × Trimestre</t>
  </si>
  <si>
    <t xml:space="preserve">TD3 · Lead Time Médio (dias) por Categoria × Trimestre </t>
  </si>
  <si>
    <t>TD4 · Gasto Mensal Total</t>
  </si>
  <si>
    <t>ANÁLISE DE SUPRIMENTOS</t>
  </si>
  <si>
    <t>A.  PROCV — Enriquecimento de pedidos com dados de Fornecedores</t>
  </si>
  <si>
    <t>B.  ÍNDICE + CORRESP — Busca bidirecional por Fornecedor e Atributo</t>
  </si>
  <si>
    <t>C.  CONT.SES com múltiplos critérios — Categoria × Status × Faixa de Atraso</t>
  </si>
  <si>
    <t>PAINEL DE INDICADORES — 2024</t>
  </si>
  <si>
    <t>Total de Pedidos</t>
  </si>
  <si>
    <t>Taxa Entrega no Prazo</t>
  </si>
  <si>
    <t>Taxa de Atraso</t>
  </si>
  <si>
    <t>Valor Total de Compras</t>
  </si>
  <si>
    <t>Valor em Atraso (R$)</t>
  </si>
  <si>
    <t>Ticket Médio por Pedido</t>
  </si>
  <si>
    <t>Lead Time Médio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</si>
</sst>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"/>
    <numFmt numFmtId="165" formatCode="\R\$\ #,##0.00"/>
    <numFmt numFmtId="166" formatCode="0.0%"/>
    <numFmt numFmtId="167" formatCode="\R\$\ #,##0"/>
  </numFmts>
  <fonts count="12" x14ac:knownFonts="1">
    <font>
      <sz val="11"/>
      <color theme="1"/>
      <name val="Rockwell"/>
      <family val="2"/>
      <scheme val="minor"/>
    </font>
    <font>
      <b/>
      <sz val="10"/>
      <color rgb="FFFFFFFF"/>
      <name val="Arial"/>
    </font>
    <font>
      <sz val="10"/>
      <color rgb="FF404040"/>
      <name val="Arial"/>
    </font>
    <font>
      <sz val="9"/>
      <color rgb="FF404040"/>
      <name val="Arial"/>
    </font>
    <font>
      <sz val="11"/>
      <color theme="1"/>
      <name val="Rockwell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8"/>
      <color rgb="FF2E75B6"/>
      <name val="Arial"/>
    </font>
    <font>
      <b/>
      <sz val="18"/>
      <color rgb="FF1E8449"/>
      <name val="Arial"/>
    </font>
    <font>
      <b/>
      <sz val="18"/>
      <color rgb="FFC0392B"/>
      <name val="Arial"/>
    </font>
    <font>
      <b/>
      <sz val="18"/>
      <color rgb="FF9A7D0A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6E2C00"/>
      </patternFill>
    </fill>
    <fill>
      <patternFill patternType="solid">
        <fgColor rgb="FF1E8449"/>
      </patternFill>
    </fill>
    <fill>
      <patternFill patternType="solid">
        <fgColor rgb="FF1B4F72"/>
      </patternFill>
    </fill>
    <fill>
      <patternFill patternType="solid">
        <fgColor rgb="FF2E75B6"/>
      </patternFill>
    </fill>
    <fill>
      <patternFill patternType="solid">
        <fgColor rgb="FF4A235A"/>
      </patternFill>
    </fill>
    <fill>
      <patternFill patternType="solid">
        <fgColor rgb="FFF7F9FC"/>
      </patternFill>
    </fill>
    <fill>
      <patternFill patternType="solid">
        <fgColor rgb="FFC0392B"/>
      </patternFill>
    </fill>
    <fill>
      <patternFill patternType="solid">
        <fgColor rgb="FF9A7D0A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44" fontId="0" fillId="0" borderId="0" xfId="1" applyFont="1"/>
    <xf numFmtId="9" fontId="0" fillId="0" borderId="0" xfId="2" applyFont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44" fontId="0" fillId="0" borderId="0" xfId="1" applyFont="1" applyAlignment="1">
      <alignment horizontal="right"/>
    </xf>
    <xf numFmtId="2" fontId="0" fillId="0" borderId="0" xfId="2" applyNumberFormat="1" applyFont="1"/>
    <xf numFmtId="166" fontId="0" fillId="0" borderId="0" xfId="2" applyNumberFormat="1" applyFont="1"/>
    <xf numFmtId="2" fontId="0" fillId="0" borderId="0" xfId="0" applyNumberFormat="1"/>
    <xf numFmtId="0" fontId="6" fillId="10" borderId="0" xfId="0" applyFont="1" applyFill="1" applyAlignment="1">
      <alignment horizontal="left" vertical="center" indent="1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7" fillId="9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3" fontId="8" fillId="11" borderId="0" xfId="0" applyNumberFormat="1" applyFont="1" applyFill="1" applyAlignment="1">
      <alignment horizontal="center" vertical="center"/>
    </xf>
    <xf numFmtId="3" fontId="9" fillId="11" borderId="0" xfId="0" applyNumberFormat="1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3" fontId="10" fillId="11" borderId="0" xfId="0" applyNumberFormat="1" applyFont="1" applyFill="1" applyAlignment="1">
      <alignment horizontal="center" vertical="center"/>
    </xf>
    <xf numFmtId="166" fontId="9" fillId="11" borderId="0" xfId="0" applyNumberFormat="1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2" fontId="11" fillId="11" borderId="0" xfId="0" applyNumberFormat="1" applyFont="1" applyFill="1" applyAlignment="1">
      <alignment horizontal="center" vertical="center"/>
    </xf>
    <xf numFmtId="2" fontId="0" fillId="0" borderId="0" xfId="0" applyNumberFormat="1"/>
    <xf numFmtId="166" fontId="10" fillId="11" borderId="0" xfId="0" applyNumberFormat="1" applyFont="1" applyFill="1" applyAlignment="1">
      <alignment horizontal="center" vertical="center"/>
    </xf>
    <xf numFmtId="167" fontId="8" fillId="11" borderId="0" xfId="0" applyNumberFormat="1" applyFont="1" applyFill="1" applyAlignment="1">
      <alignment horizontal="center" vertical="center"/>
    </xf>
    <xf numFmtId="167" fontId="10" fillId="11" borderId="0" xfId="0" applyNumberFormat="1" applyFont="1" applyFill="1" applyAlignment="1">
      <alignment horizontal="center" vertical="center"/>
    </xf>
    <xf numFmtId="0" fontId="0" fillId="0" borderId="0" xfId="0" applyNumberFormat="1"/>
    <xf numFmtId="0" fontId="0" fillId="14" borderId="0" xfId="0" applyFill="1"/>
  </cellXfs>
  <cellStyles count="3">
    <cellStyle name="Moeda" xfId="1" builtinId="4"/>
    <cellStyle name="Normal" xfId="0" builtinId="0"/>
    <cellStyle name="Porcentagem" xfId="2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family val="2"/>
        <scheme val="minor"/>
      </font>
    </dxf>
    <dxf>
      <numFmt numFmtId="2" formatCode="0.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Arial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4040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[Analise_Iago_Barros_de_Carvalho.xlsx]Tabelas Dinamicas!Tabela dinâmica4</c:name>
    <c:fmtId val="4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'Tabelas Dinamicas'!$B$43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'Tabelas Dinamicas'!$A$44:$A$56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'Tabelas Dinamicas'!$B$44:$B$56</c:f>
              <c:numCache>
                <c:formatCode>\R\$\ #,##0.00</c:formatCode>
                <c:ptCount val="12"/>
                <c:pt idx="0">
                  <c:v>50939</c:v>
                </c:pt>
                <c:pt idx="1">
                  <c:v>203639</c:v>
                </c:pt>
                <c:pt idx="2">
                  <c:v>304935</c:v>
                </c:pt>
                <c:pt idx="3">
                  <c:v>133999</c:v>
                </c:pt>
                <c:pt idx="4">
                  <c:v>415959</c:v>
                </c:pt>
                <c:pt idx="5">
                  <c:v>332876</c:v>
                </c:pt>
                <c:pt idx="6">
                  <c:v>98351</c:v>
                </c:pt>
                <c:pt idx="7">
                  <c:v>238195</c:v>
                </c:pt>
                <c:pt idx="8">
                  <c:v>655109</c:v>
                </c:pt>
                <c:pt idx="9">
                  <c:v>318632</c:v>
                </c:pt>
                <c:pt idx="10">
                  <c:v>269719</c:v>
                </c:pt>
                <c:pt idx="11">
                  <c:v>444335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1-4DF3-B1A1-5C430CCBFD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425968"/>
        <c:axId val="31426448"/>
      </c:lineChart>
      <c:catAx>
        <c:axId val="3142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426448"/>
        <c:crosses val="autoZero"/>
        <c:auto val="1"/>
        <c:lblAlgn val="ctr"/>
        <c:lblOffset val="100"/>
        <c:noMultiLvlLbl val="0"/>
      </c:catAx>
      <c:valAx>
        <c:axId val="314264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crossAx val="31425968"/>
        <c:crosses val="autoZero"/>
        <c:crossBetween val="between"/>
      </c:valAx>
      <c:spPr>
        <a:noFill/>
        <a:ln>
          <a:noFill/>
        </a:ln>
        <a:effectLst>
          <a:softEdge rad="5080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1</xdr:row>
      <xdr:rowOff>95250</xdr:rowOff>
    </xdr:from>
    <xdr:to>
      <xdr:col>6</xdr:col>
      <xdr:colOff>180975</xdr:colOff>
      <xdr:row>4</xdr:row>
      <xdr:rowOff>123825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A2EA193-607C-421E-1211-C3FAF64FF073}"/>
            </a:ext>
          </a:extLst>
        </xdr:cNvPr>
        <xdr:cNvSpPr/>
      </xdr:nvSpPr>
      <xdr:spPr>
        <a:xfrm>
          <a:off x="152401" y="276225"/>
          <a:ext cx="4143374" cy="5715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SUPPLY</a:t>
          </a:r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CHAIN - 2024</a:t>
          </a:r>
          <a:endParaRPr lang="pt-BR" sz="2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0</xdr:colOff>
      <xdr:row>1</xdr:row>
      <xdr:rowOff>123825</xdr:rowOff>
    </xdr:from>
    <xdr:to>
      <xdr:col>10</xdr:col>
      <xdr:colOff>57150</xdr:colOff>
      <xdr:row>4</xdr:row>
      <xdr:rowOff>171450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AD8FFB6-9192-58E1-ED7F-BE938F04A9FB}"/>
            </a:ext>
          </a:extLst>
        </xdr:cNvPr>
        <xdr:cNvSpPr/>
      </xdr:nvSpPr>
      <xdr:spPr>
        <a:xfrm>
          <a:off x="4800600" y="304800"/>
          <a:ext cx="2114550" cy="590550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0</xdr:colOff>
      <xdr:row>0</xdr:row>
      <xdr:rowOff>77499</xdr:rowOff>
    </xdr:from>
    <xdr:to>
      <xdr:col>10</xdr:col>
      <xdr:colOff>66676</xdr:colOff>
      <xdr:row>1</xdr:row>
      <xdr:rowOff>113001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CC6A5C2C-B343-0248-8B5B-B07FCD077DCB}"/>
            </a:ext>
          </a:extLst>
        </xdr:cNvPr>
        <xdr:cNvSpPr/>
      </xdr:nvSpPr>
      <xdr:spPr>
        <a:xfrm>
          <a:off x="4800600" y="77499"/>
          <a:ext cx="2124076" cy="216477"/>
        </a:xfrm>
        <a:prstGeom prst="rect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Total</a:t>
          </a:r>
          <a:r>
            <a:rPr lang="pt-BR" sz="1100" baseline="0"/>
            <a:t> Vendido</a:t>
          </a:r>
          <a:endParaRPr lang="pt-BR" sz="1100"/>
        </a:p>
      </xdr:txBody>
    </xdr:sp>
    <xdr:clientData/>
  </xdr:twoCellAnchor>
  <xdr:twoCellAnchor>
    <xdr:from>
      <xdr:col>10</xdr:col>
      <xdr:colOff>209550</xdr:colOff>
      <xdr:row>1</xdr:row>
      <xdr:rowOff>113001</xdr:rowOff>
    </xdr:from>
    <xdr:to>
      <xdr:col>13</xdr:col>
      <xdr:colOff>266700</xdr:colOff>
      <xdr:row>4</xdr:row>
      <xdr:rowOff>160626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16C49121-1183-4605-AE56-993E16F828BB}"/>
            </a:ext>
          </a:extLst>
        </xdr:cNvPr>
        <xdr:cNvSpPr/>
      </xdr:nvSpPr>
      <xdr:spPr>
        <a:xfrm>
          <a:off x="7067550" y="293976"/>
          <a:ext cx="2114550" cy="590550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209550</xdr:colOff>
      <xdr:row>0</xdr:row>
      <xdr:rowOff>66675</xdr:rowOff>
    </xdr:from>
    <xdr:to>
      <xdr:col>13</xdr:col>
      <xdr:colOff>276226</xdr:colOff>
      <xdr:row>1</xdr:row>
      <xdr:rowOff>102177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55D68CF7-BF33-47E0-AF6E-2666CBC7D9D5}"/>
            </a:ext>
          </a:extLst>
        </xdr:cNvPr>
        <xdr:cNvSpPr/>
      </xdr:nvSpPr>
      <xdr:spPr>
        <a:xfrm>
          <a:off x="7067550" y="66675"/>
          <a:ext cx="2124076" cy="216477"/>
        </a:xfrm>
        <a:prstGeom prst="rect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Total Pedidos</a:t>
          </a:r>
        </a:p>
      </xdr:txBody>
    </xdr:sp>
    <xdr:clientData/>
  </xdr:twoCellAnchor>
  <xdr:twoCellAnchor>
    <xdr:from>
      <xdr:col>13</xdr:col>
      <xdr:colOff>390525</xdr:colOff>
      <xdr:row>1</xdr:row>
      <xdr:rowOff>113001</xdr:rowOff>
    </xdr:from>
    <xdr:to>
      <xdr:col>16</xdr:col>
      <xdr:colOff>447675</xdr:colOff>
      <xdr:row>4</xdr:row>
      <xdr:rowOff>160626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B3E5A9EE-7EE0-467C-BA41-2F966A5CD1F2}"/>
            </a:ext>
          </a:extLst>
        </xdr:cNvPr>
        <xdr:cNvSpPr/>
      </xdr:nvSpPr>
      <xdr:spPr>
        <a:xfrm>
          <a:off x="9305925" y="293976"/>
          <a:ext cx="2114550" cy="590550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390525</xdr:colOff>
      <xdr:row>0</xdr:row>
      <xdr:rowOff>66675</xdr:rowOff>
    </xdr:from>
    <xdr:to>
      <xdr:col>16</xdr:col>
      <xdr:colOff>457201</xdr:colOff>
      <xdr:row>1</xdr:row>
      <xdr:rowOff>102177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12D97E61-CB44-4874-AF94-DC80A8804F0D}"/>
            </a:ext>
          </a:extLst>
        </xdr:cNvPr>
        <xdr:cNvSpPr/>
      </xdr:nvSpPr>
      <xdr:spPr>
        <a:xfrm>
          <a:off x="9305925" y="66675"/>
          <a:ext cx="2124076" cy="216477"/>
        </a:xfrm>
        <a:prstGeom prst="rect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Total</a:t>
          </a:r>
          <a:r>
            <a:rPr lang="pt-BR" sz="1100" baseline="0"/>
            <a:t> Revenue</a:t>
          </a:r>
          <a:endParaRPr lang="pt-BR" sz="1100"/>
        </a:p>
      </xdr:txBody>
    </xdr:sp>
    <xdr:clientData/>
  </xdr:twoCellAnchor>
  <xdr:twoCellAnchor>
    <xdr:from>
      <xdr:col>0</xdr:col>
      <xdr:colOff>500062</xdr:colOff>
      <xdr:row>9</xdr:row>
      <xdr:rowOff>59531</xdr:rowOff>
    </xdr:from>
    <xdr:to>
      <xdr:col>9</xdr:col>
      <xdr:colOff>178592</xdr:colOff>
      <xdr:row>28</xdr:row>
      <xdr:rowOff>178593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4E1F62B-83BD-4931-B580-CA29517BC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analise_suprimentos%20(1).xlsx" TargetMode="External"/><Relationship Id="rId1" Type="http://schemas.openxmlformats.org/officeDocument/2006/relationships/externalLinkPath" Target="file:///C:\Users\User\Downloads\analise_supriment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🎯 Painel KPIs"/>
      <sheetName val="Fornecedores"/>
      <sheetName val="Pedidos"/>
      <sheetName val="📊 Análise"/>
      <sheetName val="📋 Tabelas Dinâmicas"/>
      <sheetName val="analise_suprimentos (1)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5.58144710648" createdVersion="8" refreshedVersion="8" minRefreshableVersion="3" recordCount="300" xr:uid="{ED2520C9-BE6E-4EF5-8A48-6AD386ECC635}">
  <cacheSource type="worksheet">
    <worksheetSource name="tPed"/>
  </cacheSource>
  <cacheFields count="19">
    <cacheField name="ID Pedido" numFmtId="0">
      <sharedItems/>
    </cacheField>
    <cacheField name="ID Produto" numFmtId="0">
      <sharedItems containsSemiMixedTypes="0" containsString="0" containsNumber="1" containsInteger="1" minValue="1" maxValue="30"/>
    </cacheField>
    <cacheField name="Produto" numFmtId="0">
      <sharedItems/>
    </cacheField>
    <cacheField name="ID Forn" numFmtId="0">
      <sharedItems containsSemiMixedTypes="0" containsString="0" containsNumber="1" containsInteger="1" minValue="1" maxValue="14"/>
    </cacheField>
    <cacheField name="Fornecedor" numFmtId="0">
      <sharedItems count="10">
        <s v="EduMaterial"/>
        <s v="TechSupply Ltda"/>
        <s v="InfoEquip"/>
        <s v="MobiDesk"/>
        <s v="AudioVisual Pro"/>
        <s v="CleanPro Higiene"/>
        <s v="OfficeMax Brasil"/>
        <s v="NetConnect"/>
        <s v="LimpaTudo"/>
        <s v="PaperWork S.A."/>
      </sharedItems>
    </cacheField>
    <cacheField name="Categoria" numFmtId="0">
      <sharedItems count="6">
        <s v="Material Didático"/>
        <s v="Tecnologia"/>
        <s v="Mobiliário"/>
        <s v="Audiovisual"/>
        <s v="Limpeza"/>
        <s v="Material de Escritório"/>
      </sharedItems>
    </cacheField>
    <cacheField name="Dt Solic" numFmtId="0">
      <sharedItems/>
    </cacheField>
    <cacheField name="Dt Prev" numFmtId="0">
      <sharedItems/>
    </cacheField>
    <cacheField name="Dt Real" numFmtId="0">
      <sharedItems/>
    </cacheField>
    <cacheField name="Qtde" numFmtId="0">
      <sharedItems containsSemiMixedTypes="0" containsString="0" containsNumber="1" containsInteger="1" minValue="1" maxValue="50"/>
    </cacheField>
    <cacheField name="Preco Unit" numFmtId="165">
      <sharedItems containsSemiMixedTypes="0" containsString="0" containsNumber="1" containsInteger="1" minValue="12" maxValue="3500"/>
    </cacheField>
    <cacheField name="Valor Total" numFmtId="165">
      <sharedItems containsSemiMixedTypes="0" containsString="0" containsNumber="1" containsInteger="1" minValue="15" maxValue="171500"/>
    </cacheField>
    <cacheField name="Status" numFmtId="0">
      <sharedItems/>
    </cacheField>
    <cacheField name="Dias Atraso" numFmtId="0">
      <sharedItems containsSemiMixedTypes="0" containsString="0" containsNumber="1" containsInteger="1" minValue="0" maxValue="17" count="12">
        <n v="6"/>
        <n v="0"/>
        <n v="2"/>
        <n v="4"/>
        <n v="1"/>
        <n v="3"/>
        <n v="8"/>
        <n v="5"/>
        <n v="17"/>
        <n v="7"/>
        <n v="13"/>
        <n v="16"/>
      </sharedItems>
    </cacheField>
    <cacheField name="Lead Time" numFmtId="0">
      <sharedItems containsSemiMixedTypes="0" containsString="0" containsNumber="1" containsInteger="1" minValue="3" maxValue="22"/>
    </cacheField>
    <cacheField name="Mes Num" numFmtId="0">
      <sharedItems containsSemiMixedTypes="0" containsString="0" containsNumber="1" containsInteger="1" minValue="1" maxValue="12" count="12">
        <n v="11"/>
        <n v="5"/>
        <n v="2"/>
        <n v="1"/>
        <n v="4"/>
        <n v="12"/>
        <n v="3"/>
        <n v="6"/>
        <n v="7"/>
        <n v="8"/>
        <n v="10"/>
        <n v="9"/>
      </sharedItems>
    </cacheField>
    <cacheField name="Mes Nome" numFmtId="0">
      <sharedItems count="12">
        <s v="Nov"/>
        <s v="May"/>
        <s v="Feb"/>
        <s v="Jan"/>
        <s v="Apr"/>
        <s v="Dec"/>
        <s v="Mar"/>
        <s v="Jun"/>
        <s v="Jul"/>
        <s v="Aug"/>
        <s v="Oct"/>
        <s v="Sep"/>
      </sharedItems>
    </cacheField>
    <cacheField name="Trimestre" numFmtId="0">
      <sharedItems count="4">
        <s v="Q4"/>
        <s v="Q2"/>
        <s v="Q1"/>
        <s v="Q3"/>
      </sharedItems>
    </cacheField>
    <cacheField name="Semest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C-2024-0001"/>
    <n v="28"/>
    <s v="Kit Educativo"/>
    <n v="8"/>
    <x v="0"/>
    <x v="0"/>
    <s v="2024-11-23"/>
    <s v="2024-11-30"/>
    <s v="2024-12-06"/>
    <n v="18"/>
    <n v="120"/>
    <n v="2160"/>
    <s v="Entregue"/>
    <x v="0"/>
    <n v="13"/>
    <x v="0"/>
    <x v="0"/>
    <x v="0"/>
    <s v="S2"/>
  </r>
  <r>
    <s v="PC-2024-0002"/>
    <n v="1"/>
    <s v="Notebook Dell"/>
    <n v="1"/>
    <x v="1"/>
    <x v="1"/>
    <s v="2024-05-05"/>
    <s v="2024-05-12"/>
    <s v="2024-05-12"/>
    <n v="48"/>
    <n v="3500"/>
    <n v="168000"/>
    <s v="Entregue"/>
    <x v="1"/>
    <n v="7"/>
    <x v="1"/>
    <x v="1"/>
    <x v="1"/>
    <s v="S1"/>
  </r>
  <r>
    <s v="PC-2024-0003"/>
    <n v="5"/>
    <s v="Webcam HD"/>
    <n v="5"/>
    <x v="2"/>
    <x v="1"/>
    <s v="2024-02-22"/>
    <s v="2024-03-03"/>
    <s v="2024-03-03"/>
    <n v="35"/>
    <n v="250"/>
    <n v="8750"/>
    <s v="Entregue"/>
    <x v="1"/>
    <n v="10"/>
    <x v="2"/>
    <x v="2"/>
    <x v="2"/>
    <s v="S1"/>
  </r>
  <r>
    <s v="PC-2024-0004"/>
    <n v="4"/>
    <s v="Mouse Sem Fio"/>
    <n v="1"/>
    <x v="1"/>
    <x v="1"/>
    <s v="2024-02-14"/>
    <s v="2024-02-21"/>
    <s v="2024-02-21"/>
    <n v="3"/>
    <n v="80"/>
    <n v="240"/>
    <s v="Entregue"/>
    <x v="1"/>
    <n v="7"/>
    <x v="2"/>
    <x v="2"/>
    <x v="2"/>
    <s v="S1"/>
  </r>
  <r>
    <s v="PC-2024-0005"/>
    <n v="27"/>
    <s v="Apostila impressa"/>
    <n v="8"/>
    <x v="0"/>
    <x v="0"/>
    <s v="2024-01-16"/>
    <s v="2024-01-23"/>
    <s v="2024-01-25"/>
    <n v="33"/>
    <n v="40"/>
    <n v="1320"/>
    <s v="Entregue"/>
    <x v="2"/>
    <n v="9"/>
    <x v="3"/>
    <x v="3"/>
    <x v="2"/>
    <s v="S1"/>
  </r>
  <r>
    <s v="PC-2024-0006"/>
    <n v="18"/>
    <s v="Armário Aço"/>
    <n v="6"/>
    <x v="3"/>
    <x v="2"/>
    <s v="2024-11-04"/>
    <s v="2024-11-19"/>
    <s v="2024-11-21"/>
    <n v="46"/>
    <n v="900"/>
    <n v="41400"/>
    <s v="Entregue"/>
    <x v="2"/>
    <n v="17"/>
    <x v="0"/>
    <x v="0"/>
    <x v="0"/>
    <s v="S2"/>
  </r>
  <r>
    <s v="PC-2024-0007"/>
    <n v="21"/>
    <s v="Projetor Epson"/>
    <n v="11"/>
    <x v="4"/>
    <x v="3"/>
    <s v="2024-11-28"/>
    <s v="2024-12-10"/>
    <s v="2024-12-10"/>
    <n v="27"/>
    <n v="2800"/>
    <n v="75600"/>
    <s v="Entregue"/>
    <x v="1"/>
    <n v="12"/>
    <x v="0"/>
    <x v="0"/>
    <x v="0"/>
    <s v="S2"/>
  </r>
  <r>
    <s v="PC-2024-0008"/>
    <n v="11"/>
    <s v="Detergente 5L"/>
    <n v="4"/>
    <x v="5"/>
    <x v="4"/>
    <s v="2024-04-22"/>
    <s v="2024-04-25"/>
    <s v="2024-04-25"/>
    <n v="18"/>
    <n v="18"/>
    <n v="324"/>
    <s v="Entregue"/>
    <x v="1"/>
    <n v="3"/>
    <x v="4"/>
    <x v="4"/>
    <x v="1"/>
    <s v="S1"/>
  </r>
  <r>
    <s v="PC-2024-0009"/>
    <n v="18"/>
    <s v="Armário Aço"/>
    <n v="6"/>
    <x v="3"/>
    <x v="2"/>
    <s v="2024-01-04"/>
    <s v="2024-01-19"/>
    <s v="2024-01-19"/>
    <n v="11"/>
    <n v="900"/>
    <n v="9900"/>
    <s v="Entregue"/>
    <x v="1"/>
    <n v="15"/>
    <x v="3"/>
    <x v="3"/>
    <x v="2"/>
    <s v="S1"/>
  </r>
  <r>
    <s v="PC-2024-0010"/>
    <n v="17"/>
    <s v="Mesa Escritório"/>
    <n v="6"/>
    <x v="3"/>
    <x v="2"/>
    <s v="2024-12-23"/>
    <s v="2025-01-07"/>
    <s v="2025-01-07"/>
    <n v="18"/>
    <n v="1200"/>
    <n v="21600"/>
    <s v="Entregue"/>
    <x v="1"/>
    <n v="15"/>
    <x v="5"/>
    <x v="5"/>
    <x v="0"/>
    <s v="S2"/>
  </r>
  <r>
    <s v="PC-2024-0011"/>
    <n v="7"/>
    <s v="Caneta Esferográfica cx"/>
    <n v="2"/>
    <x v="6"/>
    <x v="5"/>
    <s v="2024-03-20"/>
    <s v="2024-03-25"/>
    <s v="2024-03-25"/>
    <n v="49"/>
    <n v="18"/>
    <n v="882"/>
    <s v="Entregue"/>
    <x v="1"/>
    <n v="5"/>
    <x v="6"/>
    <x v="6"/>
    <x v="2"/>
    <s v="S1"/>
  </r>
  <r>
    <s v="PC-2024-0012"/>
    <n v="9"/>
    <s v="Grampeador"/>
    <n v="2"/>
    <x v="6"/>
    <x v="5"/>
    <s v="2024-06-21"/>
    <s v="2024-06-26"/>
    <s v="2024-06-30"/>
    <n v="7"/>
    <n v="35"/>
    <n v="245"/>
    <s v="Entregue"/>
    <x v="3"/>
    <n v="9"/>
    <x v="7"/>
    <x v="7"/>
    <x v="1"/>
    <s v="S1"/>
  </r>
  <r>
    <s v="PC-2024-0013"/>
    <n v="18"/>
    <s v="Armário Aço"/>
    <n v="6"/>
    <x v="3"/>
    <x v="2"/>
    <s v="2024-07-02"/>
    <s v="2024-07-17"/>
    <s v="2024-07-17"/>
    <n v="39"/>
    <n v="900"/>
    <n v="35100"/>
    <s v="Entregue"/>
    <x v="1"/>
    <n v="15"/>
    <x v="8"/>
    <x v="8"/>
    <x v="3"/>
    <s v="S2"/>
  </r>
  <r>
    <s v="PC-2024-0014"/>
    <n v="13"/>
    <s v="Papel Higiênico fardo"/>
    <n v="4"/>
    <x v="5"/>
    <x v="4"/>
    <s v="2024-05-15"/>
    <s v="2024-05-18"/>
    <s v="2024-05-18"/>
    <n v="47"/>
    <n v="65"/>
    <n v="3055"/>
    <s v="Entregue"/>
    <x v="1"/>
    <n v="3"/>
    <x v="1"/>
    <x v="1"/>
    <x v="1"/>
    <s v="S1"/>
  </r>
  <r>
    <s v="PC-2024-0015"/>
    <n v="9"/>
    <s v="Grampeador"/>
    <n v="2"/>
    <x v="6"/>
    <x v="5"/>
    <s v="2024-08-23"/>
    <s v="2024-08-28"/>
    <s v="2024-08-28"/>
    <n v="25"/>
    <n v="35"/>
    <n v="875"/>
    <s v="Entregue"/>
    <x v="1"/>
    <n v="5"/>
    <x v="9"/>
    <x v="9"/>
    <x v="3"/>
    <s v="S2"/>
  </r>
  <r>
    <s v="PC-2024-0016"/>
    <n v="24"/>
    <s v="Switch 8 portas"/>
    <n v="10"/>
    <x v="7"/>
    <x v="1"/>
    <s v="2024-02-10"/>
    <s v="2024-02-20"/>
    <s v="2024-02-20"/>
    <n v="41"/>
    <n v="380"/>
    <n v="15580"/>
    <s v="Entregue"/>
    <x v="1"/>
    <n v="10"/>
    <x v="2"/>
    <x v="2"/>
    <x v="2"/>
    <s v="S1"/>
  </r>
  <r>
    <s v="PC-2024-0017"/>
    <n v="6"/>
    <s v="Resma de Papel A4"/>
    <n v="2"/>
    <x v="6"/>
    <x v="5"/>
    <s v="2024-11-12"/>
    <s v="2024-11-17"/>
    <s v="2024-11-17"/>
    <n v="24"/>
    <n v="25"/>
    <n v="600"/>
    <s v="Entregue"/>
    <x v="1"/>
    <n v="5"/>
    <x v="0"/>
    <x v="0"/>
    <x v="0"/>
    <s v="S2"/>
  </r>
  <r>
    <s v="PC-2024-0018"/>
    <n v="14"/>
    <s v="Sabonete Líquido 5L"/>
    <n v="4"/>
    <x v="5"/>
    <x v="4"/>
    <s v="2024-10-22"/>
    <s v="2024-10-25"/>
    <s v="2024-10-26"/>
    <n v="3"/>
    <n v="30"/>
    <n v="90"/>
    <s v="Entregue"/>
    <x v="4"/>
    <n v="4"/>
    <x v="10"/>
    <x v="10"/>
    <x v="0"/>
    <s v="S2"/>
  </r>
  <r>
    <s v="PC-2024-0019"/>
    <n v="6"/>
    <s v="Resma de Papel A4"/>
    <n v="2"/>
    <x v="6"/>
    <x v="5"/>
    <s v="2024-12-04"/>
    <s v="2024-12-09"/>
    <s v="2024-12-09"/>
    <n v="19"/>
    <n v="25"/>
    <n v="475"/>
    <s v="Entregue"/>
    <x v="1"/>
    <n v="5"/>
    <x v="5"/>
    <x v="5"/>
    <x v="0"/>
    <s v="S2"/>
  </r>
  <r>
    <s v="PC-2024-0020"/>
    <n v="13"/>
    <s v="Papel Higiênico fardo"/>
    <n v="4"/>
    <x v="5"/>
    <x v="4"/>
    <s v="2024-02-10"/>
    <s v="2024-02-13"/>
    <s v="2024-02-13"/>
    <n v="7"/>
    <n v="65"/>
    <n v="455"/>
    <s v="Entregue"/>
    <x v="1"/>
    <n v="3"/>
    <x v="2"/>
    <x v="2"/>
    <x v="2"/>
    <s v="S1"/>
  </r>
  <r>
    <s v="PC-2024-0021"/>
    <n v="23"/>
    <s v="Cabo HDMI"/>
    <n v="10"/>
    <x v="7"/>
    <x v="1"/>
    <s v="2024-07-13"/>
    <s v="2024-07-23"/>
    <s v="2024-07-23"/>
    <n v="41"/>
    <n v="25"/>
    <n v="1025"/>
    <s v="Entregue"/>
    <x v="1"/>
    <n v="10"/>
    <x v="8"/>
    <x v="8"/>
    <x v="3"/>
    <s v="S2"/>
  </r>
  <r>
    <s v="PC-2024-0022"/>
    <n v="19"/>
    <s v="Estante"/>
    <n v="6"/>
    <x v="3"/>
    <x v="2"/>
    <s v="2024-07-05"/>
    <s v="2024-07-20"/>
    <s v="2024-07-23"/>
    <n v="14"/>
    <n v="450"/>
    <n v="6300"/>
    <s v="Entregue"/>
    <x v="5"/>
    <n v="18"/>
    <x v="8"/>
    <x v="8"/>
    <x v="3"/>
    <s v="S2"/>
  </r>
  <r>
    <s v="PC-2024-0023"/>
    <n v="15"/>
    <s v="Álcool Gel 5L"/>
    <n v="14"/>
    <x v="8"/>
    <x v="4"/>
    <s v="2024-12-09"/>
    <s v="2024-12-12"/>
    <s v="2024-12-20"/>
    <n v="45"/>
    <n v="15"/>
    <n v="675"/>
    <s v="Entregue"/>
    <x v="6"/>
    <n v="11"/>
    <x v="5"/>
    <x v="5"/>
    <x v="0"/>
    <s v="S2"/>
  </r>
  <r>
    <s v="PC-2024-0024"/>
    <n v="21"/>
    <s v="Projetor Epson"/>
    <n v="11"/>
    <x v="4"/>
    <x v="3"/>
    <s v="2024-12-15"/>
    <s v="2024-12-27"/>
    <s v="2024-12-27"/>
    <n v="39"/>
    <n v="2800"/>
    <n v="109200"/>
    <s v="Entregue"/>
    <x v="1"/>
    <n v="12"/>
    <x v="5"/>
    <x v="5"/>
    <x v="0"/>
    <s v="S2"/>
  </r>
  <r>
    <s v="PC-2024-0025"/>
    <n v="13"/>
    <s v="Papel Higiênico fardo"/>
    <n v="4"/>
    <x v="5"/>
    <x v="4"/>
    <s v="2024-11-21"/>
    <s v="2024-11-24"/>
    <s v="2024-11-30"/>
    <n v="16"/>
    <n v="65"/>
    <n v="1040"/>
    <s v="Entregue"/>
    <x v="0"/>
    <n v="9"/>
    <x v="0"/>
    <x v="0"/>
    <x v="0"/>
    <s v="S2"/>
  </r>
  <r>
    <s v="PC-2024-0026"/>
    <n v="11"/>
    <s v="Detergente 5L"/>
    <n v="4"/>
    <x v="5"/>
    <x v="4"/>
    <s v="2024-03-24"/>
    <s v="2024-03-27"/>
    <s v="2024-03-27"/>
    <n v="18"/>
    <n v="18"/>
    <n v="324"/>
    <s v="Entregue"/>
    <x v="1"/>
    <n v="3"/>
    <x v="6"/>
    <x v="6"/>
    <x v="2"/>
    <s v="S1"/>
  </r>
  <r>
    <s v="PC-2024-0027"/>
    <n v="4"/>
    <s v="Mouse Sem Fio"/>
    <n v="1"/>
    <x v="1"/>
    <x v="1"/>
    <s v="2024-11-23"/>
    <s v="2024-11-30"/>
    <s v="2024-11-30"/>
    <n v="15"/>
    <n v="80"/>
    <n v="1200"/>
    <s v="Entregue"/>
    <x v="1"/>
    <n v="7"/>
    <x v="0"/>
    <x v="0"/>
    <x v="0"/>
    <s v="S2"/>
  </r>
  <r>
    <s v="PC-2024-0028"/>
    <n v="5"/>
    <s v="Webcam HD"/>
    <n v="5"/>
    <x v="2"/>
    <x v="1"/>
    <s v="2024-12-16"/>
    <s v="2024-12-26"/>
    <s v="2024-12-26"/>
    <n v="50"/>
    <n v="250"/>
    <n v="12500"/>
    <s v="Entregue"/>
    <x v="1"/>
    <n v="10"/>
    <x v="5"/>
    <x v="5"/>
    <x v="0"/>
    <s v="S2"/>
  </r>
  <r>
    <s v="PC-2024-0029"/>
    <n v="9"/>
    <s v="Grampeador"/>
    <n v="2"/>
    <x v="6"/>
    <x v="5"/>
    <s v="2024-01-29"/>
    <s v="2024-02-03"/>
    <s v="2024-02-03"/>
    <n v="3"/>
    <n v="35"/>
    <n v="105"/>
    <s v="Entregue"/>
    <x v="1"/>
    <n v="5"/>
    <x v="3"/>
    <x v="3"/>
    <x v="2"/>
    <s v="S1"/>
  </r>
  <r>
    <s v="PC-2024-0030"/>
    <n v="14"/>
    <s v="Sabonete Líquido 5L"/>
    <n v="4"/>
    <x v="5"/>
    <x v="4"/>
    <s v="2024-06-10"/>
    <s v="2024-06-13"/>
    <s v="2024-06-13"/>
    <n v="5"/>
    <n v="30"/>
    <n v="150"/>
    <s v="Entregue"/>
    <x v="1"/>
    <n v="3"/>
    <x v="7"/>
    <x v="7"/>
    <x v="1"/>
    <s v="S1"/>
  </r>
  <r>
    <s v="PC-2024-0031"/>
    <n v="13"/>
    <s v="Papel Higiênico fardo"/>
    <n v="4"/>
    <x v="5"/>
    <x v="4"/>
    <s v="2024-04-18"/>
    <s v="2024-04-21"/>
    <s v="2024-04-21"/>
    <n v="37"/>
    <n v="65"/>
    <n v="2405"/>
    <s v="Entregue"/>
    <x v="1"/>
    <n v="3"/>
    <x v="4"/>
    <x v="4"/>
    <x v="1"/>
    <s v="S1"/>
  </r>
  <r>
    <s v="PC-2024-0032"/>
    <n v="16"/>
    <s v="Cadeira Ergonômica"/>
    <n v="6"/>
    <x v="3"/>
    <x v="2"/>
    <s v="2024-06-10"/>
    <s v="2024-06-25"/>
    <s v="2024-06-25"/>
    <n v="32"/>
    <n v="850"/>
    <n v="27200"/>
    <s v="Entregue"/>
    <x v="1"/>
    <n v="15"/>
    <x v="7"/>
    <x v="7"/>
    <x v="1"/>
    <s v="S1"/>
  </r>
  <r>
    <s v="PC-2024-0033"/>
    <n v="27"/>
    <s v="Apostila impressa"/>
    <n v="8"/>
    <x v="0"/>
    <x v="0"/>
    <s v="2024-07-21"/>
    <s v="2024-07-28"/>
    <s v="2024-07-28"/>
    <n v="42"/>
    <n v="40"/>
    <n v="1680"/>
    <s v="Entregue"/>
    <x v="1"/>
    <n v="7"/>
    <x v="8"/>
    <x v="8"/>
    <x v="3"/>
    <s v="S2"/>
  </r>
  <r>
    <s v="PC-2024-0034"/>
    <n v="23"/>
    <s v="Cabo HDMI"/>
    <n v="10"/>
    <x v="7"/>
    <x v="1"/>
    <s v="2024-08-22"/>
    <s v="2024-09-01"/>
    <s v="2024-09-03"/>
    <n v="16"/>
    <n v="25"/>
    <n v="400"/>
    <s v="Entregue"/>
    <x v="2"/>
    <n v="12"/>
    <x v="9"/>
    <x v="9"/>
    <x v="3"/>
    <s v="S2"/>
  </r>
  <r>
    <s v="PC-2024-0035"/>
    <n v="7"/>
    <s v="Caneta Esferográfica cx"/>
    <n v="2"/>
    <x v="6"/>
    <x v="5"/>
    <s v="2024-10-14"/>
    <s v="2024-10-19"/>
    <s v="2024-10-19"/>
    <n v="48"/>
    <n v="18"/>
    <n v="864"/>
    <s v="Entregue"/>
    <x v="1"/>
    <n v="5"/>
    <x v="10"/>
    <x v="10"/>
    <x v="0"/>
    <s v="S2"/>
  </r>
  <r>
    <s v="PC-2024-0036"/>
    <n v="27"/>
    <s v="Apostila impressa"/>
    <n v="8"/>
    <x v="0"/>
    <x v="0"/>
    <s v="2024-10-26"/>
    <s v="2024-11-02"/>
    <s v="2024-11-02"/>
    <n v="38"/>
    <n v="40"/>
    <n v="1520"/>
    <s v="Entregue"/>
    <x v="1"/>
    <n v="7"/>
    <x v="10"/>
    <x v="10"/>
    <x v="0"/>
    <s v="S2"/>
  </r>
  <r>
    <s v="PC-2024-0037"/>
    <n v="22"/>
    <s v="Caixa de Som"/>
    <n v="11"/>
    <x v="4"/>
    <x v="3"/>
    <s v="2024-07-23"/>
    <s v="2024-08-04"/>
    <s v="2024-08-04"/>
    <n v="9"/>
    <n v="350"/>
    <n v="3150"/>
    <s v="Entregue"/>
    <x v="1"/>
    <n v="12"/>
    <x v="8"/>
    <x v="8"/>
    <x v="3"/>
    <s v="S2"/>
  </r>
  <r>
    <s v="PC-2024-0038"/>
    <n v="17"/>
    <s v="Mesa Escritório"/>
    <n v="6"/>
    <x v="3"/>
    <x v="2"/>
    <s v="2024-09-17"/>
    <s v="2024-10-02"/>
    <s v="2024-10-02"/>
    <n v="49"/>
    <n v="1200"/>
    <n v="58800"/>
    <s v="Entregue"/>
    <x v="1"/>
    <n v="15"/>
    <x v="11"/>
    <x v="11"/>
    <x v="3"/>
    <s v="S2"/>
  </r>
  <r>
    <s v="PC-2024-0039"/>
    <n v="23"/>
    <s v="Cabo HDMI"/>
    <n v="10"/>
    <x v="7"/>
    <x v="1"/>
    <s v="2024-01-25"/>
    <s v="2024-02-04"/>
    <s v="2024-02-04"/>
    <n v="10"/>
    <n v="25"/>
    <n v="250"/>
    <s v="Entregue"/>
    <x v="1"/>
    <n v="10"/>
    <x v="3"/>
    <x v="3"/>
    <x v="2"/>
    <s v="S1"/>
  </r>
  <r>
    <s v="PC-2024-0040"/>
    <n v="29"/>
    <s v="Marcador Quadro cx"/>
    <n v="3"/>
    <x v="9"/>
    <x v="5"/>
    <s v="2024-11-17"/>
    <s v="2024-11-22"/>
    <s v="2024-11-28"/>
    <n v="28"/>
    <n v="22"/>
    <n v="616"/>
    <s v="Entregue"/>
    <x v="0"/>
    <n v="11"/>
    <x v="0"/>
    <x v="0"/>
    <x v="0"/>
    <s v="S2"/>
  </r>
  <r>
    <s v="PC-2024-0041"/>
    <n v="7"/>
    <s v="Caneta Esferográfica cx"/>
    <n v="2"/>
    <x v="6"/>
    <x v="5"/>
    <s v="2024-11-01"/>
    <s v="2024-11-06"/>
    <s v="2024-11-10"/>
    <n v="39"/>
    <n v="18"/>
    <n v="702"/>
    <s v="Entregue"/>
    <x v="3"/>
    <n v="9"/>
    <x v="0"/>
    <x v="0"/>
    <x v="0"/>
    <s v="S2"/>
  </r>
  <r>
    <s v="PC-2024-0042"/>
    <n v="13"/>
    <s v="Papel Higiênico fardo"/>
    <n v="4"/>
    <x v="5"/>
    <x v="4"/>
    <s v="2024-08-27"/>
    <s v="2024-08-30"/>
    <s v="2024-08-30"/>
    <n v="36"/>
    <n v="65"/>
    <n v="2340"/>
    <s v="Entregue"/>
    <x v="1"/>
    <n v="3"/>
    <x v="9"/>
    <x v="9"/>
    <x v="3"/>
    <s v="S2"/>
  </r>
  <r>
    <s v="PC-2024-0043"/>
    <n v="30"/>
    <s v="Apagador"/>
    <n v="3"/>
    <x v="9"/>
    <x v="5"/>
    <s v="2024-01-06"/>
    <s v="2024-01-11"/>
    <s v="2024-01-11"/>
    <n v="8"/>
    <n v="18"/>
    <n v="144"/>
    <s v="Entregue"/>
    <x v="1"/>
    <n v="5"/>
    <x v="3"/>
    <x v="3"/>
    <x v="2"/>
    <s v="S1"/>
  </r>
  <r>
    <s v="PC-2024-0044"/>
    <n v="4"/>
    <s v="Mouse Sem Fio"/>
    <n v="1"/>
    <x v="1"/>
    <x v="1"/>
    <s v="2024-12-15"/>
    <s v="2024-12-22"/>
    <s v="2024-12-22"/>
    <n v="49"/>
    <n v="80"/>
    <n v="3920"/>
    <s v="Entregue"/>
    <x v="1"/>
    <n v="7"/>
    <x v="5"/>
    <x v="5"/>
    <x v="0"/>
    <s v="S2"/>
  </r>
  <r>
    <s v="PC-2024-0045"/>
    <n v="4"/>
    <s v="Mouse Sem Fio"/>
    <n v="1"/>
    <x v="1"/>
    <x v="1"/>
    <s v="2024-05-16"/>
    <s v="2024-05-23"/>
    <s v="2024-05-23"/>
    <n v="22"/>
    <n v="80"/>
    <n v="1760"/>
    <s v="Entregue"/>
    <x v="1"/>
    <n v="7"/>
    <x v="1"/>
    <x v="1"/>
    <x v="1"/>
    <s v="S1"/>
  </r>
  <r>
    <s v="PC-2024-0046"/>
    <n v="22"/>
    <s v="Caixa de Som"/>
    <n v="11"/>
    <x v="4"/>
    <x v="3"/>
    <s v="2024-02-27"/>
    <s v="2024-03-10"/>
    <s v="2024-03-10"/>
    <n v="11"/>
    <n v="350"/>
    <n v="3850"/>
    <s v="Entregue"/>
    <x v="1"/>
    <n v="12"/>
    <x v="2"/>
    <x v="2"/>
    <x v="2"/>
    <s v="S1"/>
  </r>
  <r>
    <s v="PC-2024-0047"/>
    <n v="17"/>
    <s v="Mesa Escritório"/>
    <n v="6"/>
    <x v="3"/>
    <x v="2"/>
    <s v="2024-08-20"/>
    <s v="2024-09-04"/>
    <s v="2024-09-10"/>
    <n v="47"/>
    <n v="1200"/>
    <n v="56400"/>
    <s v="Entregue"/>
    <x v="0"/>
    <n v="21"/>
    <x v="9"/>
    <x v="9"/>
    <x v="3"/>
    <s v="S2"/>
  </r>
  <r>
    <s v="PC-2024-0048"/>
    <n v="28"/>
    <s v="Kit Educativo"/>
    <n v="8"/>
    <x v="0"/>
    <x v="0"/>
    <s v="2024-05-14"/>
    <s v="2024-05-21"/>
    <s v="2024-05-21"/>
    <n v="49"/>
    <n v="120"/>
    <n v="5880"/>
    <s v="Entregue"/>
    <x v="1"/>
    <n v="7"/>
    <x v="1"/>
    <x v="1"/>
    <x v="1"/>
    <s v="S1"/>
  </r>
  <r>
    <s v="PC-2024-0049"/>
    <n v="3"/>
    <s v="Teclado USB"/>
    <n v="1"/>
    <x v="1"/>
    <x v="1"/>
    <s v="2024-04-01"/>
    <s v="2024-04-08"/>
    <s v="2024-04-08"/>
    <n v="7"/>
    <n v="150"/>
    <n v="1050"/>
    <s v="Entregue"/>
    <x v="1"/>
    <n v="7"/>
    <x v="4"/>
    <x v="4"/>
    <x v="1"/>
    <s v="S1"/>
  </r>
  <r>
    <s v="PC-2024-0050"/>
    <n v="9"/>
    <s v="Grampeador"/>
    <n v="2"/>
    <x v="6"/>
    <x v="5"/>
    <s v="2024-11-16"/>
    <s v="2024-11-21"/>
    <s v="2024-11-21"/>
    <n v="41"/>
    <n v="35"/>
    <n v="1435"/>
    <s v="Entregue"/>
    <x v="1"/>
    <n v="5"/>
    <x v="0"/>
    <x v="0"/>
    <x v="0"/>
    <s v="S2"/>
  </r>
  <r>
    <s v="PC-2024-0051"/>
    <n v="18"/>
    <s v="Armário Aço"/>
    <n v="6"/>
    <x v="3"/>
    <x v="2"/>
    <s v="2024-09-16"/>
    <s v="2024-10-01"/>
    <s v="2024-10-01"/>
    <n v="10"/>
    <n v="900"/>
    <n v="9000"/>
    <s v="Entregue"/>
    <x v="1"/>
    <n v="15"/>
    <x v="11"/>
    <x v="11"/>
    <x v="3"/>
    <s v="S2"/>
  </r>
  <r>
    <s v="PC-2024-0052"/>
    <n v="22"/>
    <s v="Caixa de Som"/>
    <n v="11"/>
    <x v="4"/>
    <x v="3"/>
    <s v="2024-07-10"/>
    <s v="2024-07-22"/>
    <s v="2024-07-22"/>
    <n v="35"/>
    <n v="350"/>
    <n v="12250"/>
    <s v="Entregue"/>
    <x v="1"/>
    <n v="12"/>
    <x v="8"/>
    <x v="8"/>
    <x v="3"/>
    <s v="S2"/>
  </r>
  <r>
    <s v="PC-2024-0053"/>
    <n v="28"/>
    <s v="Kit Educativo"/>
    <n v="8"/>
    <x v="0"/>
    <x v="0"/>
    <s v="2024-09-28"/>
    <s v="2024-10-05"/>
    <s v="2024-10-05"/>
    <n v="39"/>
    <n v="120"/>
    <n v="4680"/>
    <s v="Entregue"/>
    <x v="1"/>
    <n v="7"/>
    <x v="11"/>
    <x v="11"/>
    <x v="3"/>
    <s v="S2"/>
  </r>
  <r>
    <s v="PC-2024-0054"/>
    <n v="18"/>
    <s v="Armário Aço"/>
    <n v="6"/>
    <x v="3"/>
    <x v="2"/>
    <s v="2024-06-14"/>
    <s v="2024-06-29"/>
    <s v="2024-06-29"/>
    <n v="8"/>
    <n v="900"/>
    <n v="7200"/>
    <s v="Entregue"/>
    <x v="1"/>
    <n v="15"/>
    <x v="7"/>
    <x v="7"/>
    <x v="1"/>
    <s v="S1"/>
  </r>
  <r>
    <s v="PC-2024-0055"/>
    <n v="23"/>
    <s v="Cabo HDMI"/>
    <n v="10"/>
    <x v="7"/>
    <x v="1"/>
    <s v="2024-07-04"/>
    <s v="2024-07-14"/>
    <s v="2024-07-14"/>
    <n v="20"/>
    <n v="25"/>
    <n v="500"/>
    <s v="Entregue"/>
    <x v="1"/>
    <n v="10"/>
    <x v="8"/>
    <x v="8"/>
    <x v="3"/>
    <s v="S2"/>
  </r>
  <r>
    <s v="PC-2024-0056"/>
    <n v="10"/>
    <s v="Calculadora"/>
    <n v="2"/>
    <x v="6"/>
    <x v="5"/>
    <s v="2024-05-02"/>
    <s v="2024-05-07"/>
    <s v="2024-05-12"/>
    <n v="6"/>
    <n v="45"/>
    <n v="270"/>
    <s v="Entregue"/>
    <x v="7"/>
    <n v="10"/>
    <x v="1"/>
    <x v="1"/>
    <x v="1"/>
    <s v="S1"/>
  </r>
  <r>
    <s v="PC-2024-0057"/>
    <n v="12"/>
    <s v="Desinfetante 5L"/>
    <n v="4"/>
    <x v="5"/>
    <x v="4"/>
    <s v="2024-02-13"/>
    <s v="2024-02-16"/>
    <s v="2024-02-16"/>
    <n v="5"/>
    <n v="22"/>
    <n v="110"/>
    <s v="Entregue"/>
    <x v="1"/>
    <n v="3"/>
    <x v="2"/>
    <x v="2"/>
    <x v="2"/>
    <s v="S1"/>
  </r>
  <r>
    <s v="PC-2024-0058"/>
    <n v="26"/>
    <s v="Livro Didático"/>
    <n v="8"/>
    <x v="0"/>
    <x v="0"/>
    <s v="2024-09-29"/>
    <s v="2024-10-06"/>
    <s v="2024-10-06"/>
    <n v="9"/>
    <n v="85"/>
    <n v="765"/>
    <s v="Entregue"/>
    <x v="1"/>
    <n v="7"/>
    <x v="11"/>
    <x v="11"/>
    <x v="3"/>
    <s v="S2"/>
  </r>
  <r>
    <s v="PC-2024-0059"/>
    <n v="20"/>
    <s v="Quadro Branco"/>
    <n v="6"/>
    <x v="3"/>
    <x v="2"/>
    <s v="2024-12-03"/>
    <s v="2024-12-18"/>
    <s v="2024-12-18"/>
    <n v="36"/>
    <n v="180"/>
    <n v="6480"/>
    <s v="Entregue"/>
    <x v="1"/>
    <n v="15"/>
    <x v="5"/>
    <x v="5"/>
    <x v="0"/>
    <s v="S2"/>
  </r>
  <r>
    <s v="PC-2024-0060"/>
    <n v="15"/>
    <s v="Álcool Gel 5L"/>
    <n v="14"/>
    <x v="8"/>
    <x v="4"/>
    <s v="2024-03-25"/>
    <s v="2024-03-28"/>
    <s v="2024-04-05"/>
    <n v="34"/>
    <n v="15"/>
    <n v="510"/>
    <s v="Entregue"/>
    <x v="6"/>
    <n v="11"/>
    <x v="6"/>
    <x v="6"/>
    <x v="2"/>
    <s v="S1"/>
  </r>
  <r>
    <s v="PC-2024-0061"/>
    <n v="1"/>
    <s v="Notebook Dell"/>
    <n v="1"/>
    <x v="1"/>
    <x v="1"/>
    <s v="2024-11-06"/>
    <s v="2024-11-13"/>
    <s v="2024-11-13"/>
    <n v="14"/>
    <n v="3500"/>
    <n v="49000"/>
    <s v="Entregue"/>
    <x v="1"/>
    <n v="7"/>
    <x v="0"/>
    <x v="0"/>
    <x v="0"/>
    <s v="S2"/>
  </r>
  <r>
    <s v="PC-2024-0062"/>
    <n v="25"/>
    <s v="Roteador WiFi"/>
    <n v="10"/>
    <x v="7"/>
    <x v="1"/>
    <s v="2024-10-03"/>
    <s v="2024-10-13"/>
    <s v="2024-10-13"/>
    <n v="45"/>
    <n v="420"/>
    <n v="18900"/>
    <s v="Entregue"/>
    <x v="1"/>
    <n v="10"/>
    <x v="10"/>
    <x v="10"/>
    <x v="0"/>
    <s v="S2"/>
  </r>
  <r>
    <s v="PC-2024-0063"/>
    <n v="10"/>
    <s v="Calculadora"/>
    <n v="2"/>
    <x v="6"/>
    <x v="5"/>
    <s v="2024-04-12"/>
    <s v="2024-04-17"/>
    <s v="2024-04-17"/>
    <n v="26"/>
    <n v="45"/>
    <n v="1170"/>
    <s v="Entregue"/>
    <x v="1"/>
    <n v="5"/>
    <x v="4"/>
    <x v="4"/>
    <x v="1"/>
    <s v="S1"/>
  </r>
  <r>
    <s v="PC-2024-0064"/>
    <n v="10"/>
    <s v="Calculadora"/>
    <n v="2"/>
    <x v="6"/>
    <x v="5"/>
    <s v="2024-12-09"/>
    <s v="2024-12-14"/>
    <s v="2024-12-14"/>
    <n v="29"/>
    <n v="45"/>
    <n v="1305"/>
    <s v="Entregue"/>
    <x v="1"/>
    <n v="5"/>
    <x v="5"/>
    <x v="5"/>
    <x v="0"/>
    <s v="S2"/>
  </r>
  <r>
    <s v="PC-2024-0065"/>
    <n v="27"/>
    <s v="Apostila impressa"/>
    <n v="8"/>
    <x v="0"/>
    <x v="0"/>
    <s v="2024-09-21"/>
    <s v="2024-09-28"/>
    <s v="2024-09-28"/>
    <n v="16"/>
    <n v="40"/>
    <n v="640"/>
    <s v="Entregue"/>
    <x v="1"/>
    <n v="7"/>
    <x v="11"/>
    <x v="11"/>
    <x v="3"/>
    <s v="S2"/>
  </r>
  <r>
    <s v="PC-2024-0066"/>
    <n v="16"/>
    <s v="Cadeira Ergonômica"/>
    <n v="6"/>
    <x v="3"/>
    <x v="2"/>
    <s v="2024-04-25"/>
    <s v="2024-05-10"/>
    <s v="2024-05-11"/>
    <n v="38"/>
    <n v="850"/>
    <n v="32300"/>
    <s v="Entregue"/>
    <x v="4"/>
    <n v="16"/>
    <x v="4"/>
    <x v="4"/>
    <x v="1"/>
    <s v="S1"/>
  </r>
  <r>
    <s v="PC-2024-0067"/>
    <n v="5"/>
    <s v="Webcam HD"/>
    <n v="5"/>
    <x v="2"/>
    <x v="1"/>
    <s v="2024-10-10"/>
    <s v="2024-10-20"/>
    <s v="2024-10-20"/>
    <n v="15"/>
    <n v="250"/>
    <n v="3750"/>
    <s v="Entregue"/>
    <x v="1"/>
    <n v="10"/>
    <x v="10"/>
    <x v="10"/>
    <x v="0"/>
    <s v="S2"/>
  </r>
  <r>
    <s v="PC-2024-0068"/>
    <n v="28"/>
    <s v="Kit Educativo"/>
    <n v="8"/>
    <x v="0"/>
    <x v="0"/>
    <s v="2024-01-04"/>
    <s v="2024-01-11"/>
    <s v="2024-01-17"/>
    <n v="4"/>
    <n v="120"/>
    <n v="480"/>
    <s v="Entregue"/>
    <x v="0"/>
    <n v="13"/>
    <x v="3"/>
    <x v="3"/>
    <x v="2"/>
    <s v="S1"/>
  </r>
  <r>
    <s v="PC-2024-0069"/>
    <n v="11"/>
    <s v="Detergente 5L"/>
    <n v="4"/>
    <x v="5"/>
    <x v="4"/>
    <s v="2024-04-27"/>
    <s v="2024-04-30"/>
    <s v="2024-05-01"/>
    <n v="22"/>
    <n v="18"/>
    <n v="396"/>
    <s v="Entregue"/>
    <x v="4"/>
    <n v="4"/>
    <x v="4"/>
    <x v="4"/>
    <x v="1"/>
    <s v="S1"/>
  </r>
  <r>
    <s v="PC-2024-0070"/>
    <n v="11"/>
    <s v="Detergente 5L"/>
    <n v="4"/>
    <x v="5"/>
    <x v="4"/>
    <s v="2024-02-06"/>
    <s v="2024-02-09"/>
    <s v="2024-02-09"/>
    <n v="18"/>
    <n v="18"/>
    <n v="324"/>
    <s v="Entregue"/>
    <x v="1"/>
    <n v="3"/>
    <x v="2"/>
    <x v="2"/>
    <x v="2"/>
    <s v="S1"/>
  </r>
  <r>
    <s v="PC-2024-0071"/>
    <n v="27"/>
    <s v="Apostila impressa"/>
    <n v="8"/>
    <x v="0"/>
    <x v="0"/>
    <s v="2024-12-08"/>
    <s v="2024-12-15"/>
    <s v="2024-12-15"/>
    <n v="35"/>
    <n v="40"/>
    <n v="1400"/>
    <s v="Entregue"/>
    <x v="1"/>
    <n v="7"/>
    <x v="5"/>
    <x v="5"/>
    <x v="0"/>
    <s v="S2"/>
  </r>
  <r>
    <s v="PC-2024-0072"/>
    <n v="6"/>
    <s v="Resma de Papel A4"/>
    <n v="2"/>
    <x v="6"/>
    <x v="5"/>
    <s v="2024-03-08"/>
    <s v="2024-03-13"/>
    <s v="2024-03-13"/>
    <n v="37"/>
    <n v="25"/>
    <n v="925"/>
    <s v="Entregue"/>
    <x v="1"/>
    <n v="5"/>
    <x v="6"/>
    <x v="6"/>
    <x v="2"/>
    <s v="S1"/>
  </r>
  <r>
    <s v="PC-2024-0073"/>
    <n v="21"/>
    <s v="Projetor Epson"/>
    <n v="11"/>
    <x v="4"/>
    <x v="3"/>
    <s v="2024-10-22"/>
    <s v="2024-11-03"/>
    <s v="2024-11-03"/>
    <n v="31"/>
    <n v="2800"/>
    <n v="86800"/>
    <s v="Entregue"/>
    <x v="1"/>
    <n v="12"/>
    <x v="10"/>
    <x v="10"/>
    <x v="0"/>
    <s v="S2"/>
  </r>
  <r>
    <s v="PC-2024-0074"/>
    <n v="26"/>
    <s v="Livro Didático"/>
    <n v="8"/>
    <x v="0"/>
    <x v="0"/>
    <s v="2024-07-27"/>
    <s v="2024-08-03"/>
    <s v="2024-08-04"/>
    <n v="43"/>
    <n v="85"/>
    <n v="3655"/>
    <s v="Entregue"/>
    <x v="4"/>
    <n v="8"/>
    <x v="8"/>
    <x v="8"/>
    <x v="3"/>
    <s v="S2"/>
  </r>
  <r>
    <s v="PC-2024-0075"/>
    <n v="26"/>
    <s v="Livro Didático"/>
    <n v="8"/>
    <x v="0"/>
    <x v="0"/>
    <s v="2024-08-08"/>
    <s v="2024-08-15"/>
    <s v="2024-08-15"/>
    <n v="27"/>
    <n v="85"/>
    <n v="2295"/>
    <s v="Entregue"/>
    <x v="1"/>
    <n v="7"/>
    <x v="9"/>
    <x v="9"/>
    <x v="3"/>
    <s v="S2"/>
  </r>
  <r>
    <s v="PC-2024-0076"/>
    <n v="23"/>
    <s v="Cabo HDMI"/>
    <n v="10"/>
    <x v="7"/>
    <x v="1"/>
    <s v="2024-08-27"/>
    <s v="2024-09-06"/>
    <s v="2024-09-06"/>
    <n v="4"/>
    <n v="25"/>
    <n v="100"/>
    <s v="Entregue"/>
    <x v="1"/>
    <n v="10"/>
    <x v="9"/>
    <x v="9"/>
    <x v="3"/>
    <s v="S2"/>
  </r>
  <r>
    <s v="PC-2024-0077"/>
    <n v="24"/>
    <s v="Switch 8 portas"/>
    <n v="10"/>
    <x v="7"/>
    <x v="1"/>
    <s v="2024-12-10"/>
    <s v="2024-12-20"/>
    <s v="2024-12-20"/>
    <n v="42"/>
    <n v="380"/>
    <n v="15960"/>
    <s v="Entregue"/>
    <x v="1"/>
    <n v="10"/>
    <x v="5"/>
    <x v="5"/>
    <x v="0"/>
    <s v="S2"/>
  </r>
  <r>
    <s v="PC-2024-0078"/>
    <n v="25"/>
    <s v="Roteador WiFi"/>
    <n v="10"/>
    <x v="7"/>
    <x v="1"/>
    <s v="2024-02-20"/>
    <s v="2024-03-01"/>
    <s v="2024-03-07"/>
    <n v="22"/>
    <n v="420"/>
    <n v="9240"/>
    <s v="Entregue"/>
    <x v="0"/>
    <n v="16"/>
    <x v="2"/>
    <x v="2"/>
    <x v="2"/>
    <s v="S1"/>
  </r>
  <r>
    <s v="PC-2024-0079"/>
    <n v="12"/>
    <s v="Desinfetante 5L"/>
    <n v="4"/>
    <x v="5"/>
    <x v="4"/>
    <s v="2024-02-25"/>
    <s v="2024-02-28"/>
    <s v="2024-02-28"/>
    <n v="13"/>
    <n v="22"/>
    <n v="286"/>
    <s v="Entregue"/>
    <x v="1"/>
    <n v="3"/>
    <x v="2"/>
    <x v="2"/>
    <x v="2"/>
    <s v="S1"/>
  </r>
  <r>
    <s v="PC-2024-0080"/>
    <n v="3"/>
    <s v="Teclado USB"/>
    <n v="1"/>
    <x v="1"/>
    <x v="1"/>
    <s v="2024-10-01"/>
    <s v="2024-10-08"/>
    <s v="2024-10-08"/>
    <n v="28"/>
    <n v="150"/>
    <n v="4200"/>
    <s v="Entregue"/>
    <x v="1"/>
    <n v="7"/>
    <x v="10"/>
    <x v="10"/>
    <x v="0"/>
    <s v="S2"/>
  </r>
  <r>
    <s v="PC-2024-0081"/>
    <n v="30"/>
    <s v="Apagador"/>
    <n v="3"/>
    <x v="9"/>
    <x v="5"/>
    <s v="2024-04-03"/>
    <s v="2024-04-08"/>
    <s v="2024-04-08"/>
    <n v="16"/>
    <n v="18"/>
    <n v="288"/>
    <s v="Entregue"/>
    <x v="1"/>
    <n v="5"/>
    <x v="4"/>
    <x v="4"/>
    <x v="1"/>
    <s v="S1"/>
  </r>
  <r>
    <s v="PC-2024-0082"/>
    <n v="6"/>
    <s v="Resma de Papel A4"/>
    <n v="2"/>
    <x v="6"/>
    <x v="5"/>
    <s v="2024-02-08"/>
    <s v="2024-02-13"/>
    <s v="2024-02-13"/>
    <n v="36"/>
    <n v="25"/>
    <n v="900"/>
    <s v="Entregue"/>
    <x v="1"/>
    <n v="5"/>
    <x v="2"/>
    <x v="2"/>
    <x v="2"/>
    <s v="S1"/>
  </r>
  <r>
    <s v="PC-2024-0083"/>
    <n v="23"/>
    <s v="Cabo HDMI"/>
    <n v="10"/>
    <x v="7"/>
    <x v="1"/>
    <s v="2024-02-20"/>
    <s v="2024-03-01"/>
    <s v="2024-03-06"/>
    <n v="1"/>
    <n v="25"/>
    <n v="25"/>
    <s v="Entregue"/>
    <x v="7"/>
    <n v="15"/>
    <x v="2"/>
    <x v="2"/>
    <x v="2"/>
    <s v="S1"/>
  </r>
  <r>
    <s v="PC-2024-0084"/>
    <n v="9"/>
    <s v="Grampeador"/>
    <n v="2"/>
    <x v="6"/>
    <x v="5"/>
    <s v="2024-02-17"/>
    <s v="2024-02-22"/>
    <s v="2024-02-22"/>
    <n v="16"/>
    <n v="35"/>
    <n v="560"/>
    <s v="Entregue"/>
    <x v="1"/>
    <n v="5"/>
    <x v="2"/>
    <x v="2"/>
    <x v="2"/>
    <s v="S1"/>
  </r>
  <r>
    <s v="PC-2024-0085"/>
    <n v="11"/>
    <s v="Detergente 5L"/>
    <n v="4"/>
    <x v="5"/>
    <x v="4"/>
    <s v="2024-03-26"/>
    <s v="2024-03-29"/>
    <s v="2024-03-29"/>
    <n v="31"/>
    <n v="18"/>
    <n v="558"/>
    <s v="Entregue"/>
    <x v="1"/>
    <n v="3"/>
    <x v="6"/>
    <x v="6"/>
    <x v="2"/>
    <s v="S1"/>
  </r>
  <r>
    <s v="PC-2024-0086"/>
    <n v="10"/>
    <s v="Calculadora"/>
    <n v="2"/>
    <x v="6"/>
    <x v="5"/>
    <s v="2024-04-19"/>
    <s v="2024-04-24"/>
    <s v="2024-04-24"/>
    <n v="4"/>
    <n v="45"/>
    <n v="180"/>
    <s v="Entregue"/>
    <x v="1"/>
    <n v="5"/>
    <x v="4"/>
    <x v="4"/>
    <x v="1"/>
    <s v="S1"/>
  </r>
  <r>
    <s v="PC-2024-0087"/>
    <n v="17"/>
    <s v="Mesa Escritório"/>
    <n v="6"/>
    <x v="3"/>
    <x v="2"/>
    <s v="2024-03-25"/>
    <s v="2024-04-09"/>
    <s v="2024-04-09"/>
    <n v="25"/>
    <n v="1200"/>
    <n v="30000"/>
    <s v="Entregue"/>
    <x v="1"/>
    <n v="15"/>
    <x v="6"/>
    <x v="6"/>
    <x v="2"/>
    <s v="S1"/>
  </r>
  <r>
    <s v="PC-2024-0088"/>
    <n v="22"/>
    <s v="Caixa de Som"/>
    <n v="11"/>
    <x v="4"/>
    <x v="3"/>
    <s v="2024-05-15"/>
    <s v="2024-05-27"/>
    <s v="2024-05-27"/>
    <n v="30"/>
    <n v="350"/>
    <n v="10500"/>
    <s v="Entregue"/>
    <x v="1"/>
    <n v="12"/>
    <x v="1"/>
    <x v="1"/>
    <x v="1"/>
    <s v="S1"/>
  </r>
  <r>
    <s v="PC-2024-0089"/>
    <n v="23"/>
    <s v="Cabo HDMI"/>
    <n v="10"/>
    <x v="7"/>
    <x v="1"/>
    <s v="2024-05-26"/>
    <s v="2024-06-05"/>
    <s v="2024-06-05"/>
    <n v="47"/>
    <n v="25"/>
    <n v="1175"/>
    <s v="Entregue"/>
    <x v="1"/>
    <n v="10"/>
    <x v="1"/>
    <x v="1"/>
    <x v="1"/>
    <s v="S1"/>
  </r>
  <r>
    <s v="PC-2024-0090"/>
    <n v="9"/>
    <s v="Grampeador"/>
    <n v="2"/>
    <x v="6"/>
    <x v="5"/>
    <s v="2024-10-11"/>
    <s v="2024-10-16"/>
    <s v="2024-10-16"/>
    <n v="32"/>
    <n v="35"/>
    <n v="1120"/>
    <s v="Entregue"/>
    <x v="1"/>
    <n v="5"/>
    <x v="10"/>
    <x v="10"/>
    <x v="0"/>
    <s v="S2"/>
  </r>
  <r>
    <s v="PC-2024-0091"/>
    <n v="8"/>
    <s v="Pasta Arquivo"/>
    <n v="2"/>
    <x v="6"/>
    <x v="5"/>
    <s v="2024-03-20"/>
    <s v="2024-03-25"/>
    <s v="2024-03-27"/>
    <n v="4"/>
    <n v="12"/>
    <n v="48"/>
    <s v="Entregue"/>
    <x v="2"/>
    <n v="7"/>
    <x v="6"/>
    <x v="6"/>
    <x v="2"/>
    <s v="S1"/>
  </r>
  <r>
    <s v="PC-2024-0092"/>
    <n v="15"/>
    <s v="Álcool Gel 5L"/>
    <n v="14"/>
    <x v="8"/>
    <x v="4"/>
    <s v="2024-10-23"/>
    <s v="2024-10-26"/>
    <s v="2024-11-12"/>
    <n v="4"/>
    <n v="15"/>
    <n v="60"/>
    <s v="Entregue"/>
    <x v="8"/>
    <n v="20"/>
    <x v="10"/>
    <x v="10"/>
    <x v="0"/>
    <s v="S2"/>
  </r>
  <r>
    <s v="PC-2024-0093"/>
    <n v="22"/>
    <s v="Caixa de Som"/>
    <n v="11"/>
    <x v="4"/>
    <x v="3"/>
    <s v="2024-06-09"/>
    <s v="2024-06-21"/>
    <s v="2024-06-26"/>
    <n v="31"/>
    <n v="350"/>
    <n v="10850"/>
    <s v="Entregue"/>
    <x v="7"/>
    <n v="17"/>
    <x v="7"/>
    <x v="7"/>
    <x v="1"/>
    <s v="S1"/>
  </r>
  <r>
    <s v="PC-2024-0094"/>
    <n v="28"/>
    <s v="Kit Educativo"/>
    <n v="8"/>
    <x v="0"/>
    <x v="0"/>
    <s v="2024-09-14"/>
    <s v="2024-09-21"/>
    <s v="2024-09-21"/>
    <n v="34"/>
    <n v="120"/>
    <n v="4080"/>
    <s v="Entregue"/>
    <x v="1"/>
    <n v="7"/>
    <x v="11"/>
    <x v="11"/>
    <x v="3"/>
    <s v="S2"/>
  </r>
  <r>
    <s v="PC-2024-0095"/>
    <n v="27"/>
    <s v="Apostila impressa"/>
    <n v="8"/>
    <x v="0"/>
    <x v="0"/>
    <s v="2024-03-21"/>
    <s v="2024-03-28"/>
    <s v="2024-04-02"/>
    <n v="6"/>
    <n v="40"/>
    <n v="240"/>
    <s v="Entregue"/>
    <x v="7"/>
    <n v="12"/>
    <x v="6"/>
    <x v="6"/>
    <x v="2"/>
    <s v="S1"/>
  </r>
  <r>
    <s v="PC-2024-0096"/>
    <n v="16"/>
    <s v="Cadeira Ergonômica"/>
    <n v="6"/>
    <x v="3"/>
    <x v="2"/>
    <s v="2024-04-05"/>
    <s v="2024-04-20"/>
    <s v="2024-04-21"/>
    <n v="44"/>
    <n v="850"/>
    <n v="37400"/>
    <s v="Entregue"/>
    <x v="4"/>
    <n v="16"/>
    <x v="4"/>
    <x v="4"/>
    <x v="1"/>
    <s v="S1"/>
  </r>
  <r>
    <s v="PC-2024-0097"/>
    <n v="9"/>
    <s v="Grampeador"/>
    <n v="2"/>
    <x v="6"/>
    <x v="5"/>
    <s v="2024-04-30"/>
    <s v="2024-05-05"/>
    <s v="2024-05-05"/>
    <n v="37"/>
    <n v="35"/>
    <n v="1295"/>
    <s v="Entregue"/>
    <x v="1"/>
    <n v="5"/>
    <x v="4"/>
    <x v="4"/>
    <x v="1"/>
    <s v="S1"/>
  </r>
  <r>
    <s v="PC-2024-0098"/>
    <n v="6"/>
    <s v="Resma de Papel A4"/>
    <n v="2"/>
    <x v="6"/>
    <x v="5"/>
    <s v="2024-05-06"/>
    <s v="2024-05-11"/>
    <s v="2024-05-11"/>
    <n v="3"/>
    <n v="25"/>
    <n v="75"/>
    <s v="Entregue"/>
    <x v="1"/>
    <n v="5"/>
    <x v="1"/>
    <x v="1"/>
    <x v="1"/>
    <s v="S1"/>
  </r>
  <r>
    <s v="PC-2024-0099"/>
    <n v="7"/>
    <s v="Caneta Esferográfica cx"/>
    <n v="2"/>
    <x v="6"/>
    <x v="5"/>
    <s v="2024-11-13"/>
    <s v="2024-11-18"/>
    <s v="2024-11-24"/>
    <n v="38"/>
    <n v="18"/>
    <n v="684"/>
    <s v="Entregue"/>
    <x v="0"/>
    <n v="11"/>
    <x v="0"/>
    <x v="0"/>
    <x v="0"/>
    <s v="S2"/>
  </r>
  <r>
    <s v="PC-2024-0100"/>
    <n v="23"/>
    <s v="Cabo HDMI"/>
    <n v="10"/>
    <x v="7"/>
    <x v="1"/>
    <s v="2024-10-16"/>
    <s v="2024-10-26"/>
    <s v="2024-10-26"/>
    <n v="17"/>
    <n v="25"/>
    <n v="425"/>
    <s v="Entregue"/>
    <x v="1"/>
    <n v="10"/>
    <x v="10"/>
    <x v="10"/>
    <x v="0"/>
    <s v="S2"/>
  </r>
  <r>
    <s v="PC-2024-0101"/>
    <n v="30"/>
    <s v="Apagador"/>
    <n v="3"/>
    <x v="9"/>
    <x v="5"/>
    <s v="2024-04-14"/>
    <s v="2024-04-19"/>
    <s v="2024-04-19"/>
    <n v="21"/>
    <n v="18"/>
    <n v="378"/>
    <s v="Entregue"/>
    <x v="1"/>
    <n v="5"/>
    <x v="4"/>
    <x v="4"/>
    <x v="1"/>
    <s v="S1"/>
  </r>
  <r>
    <s v="PC-2024-0102"/>
    <n v="24"/>
    <s v="Switch 8 portas"/>
    <n v="10"/>
    <x v="7"/>
    <x v="1"/>
    <s v="2024-05-02"/>
    <s v="2024-05-12"/>
    <s v="2024-05-12"/>
    <n v="9"/>
    <n v="380"/>
    <n v="3420"/>
    <s v="Entregue"/>
    <x v="1"/>
    <n v="10"/>
    <x v="1"/>
    <x v="1"/>
    <x v="1"/>
    <s v="S1"/>
  </r>
  <r>
    <s v="PC-2024-0103"/>
    <n v="29"/>
    <s v="Marcador Quadro cx"/>
    <n v="3"/>
    <x v="9"/>
    <x v="5"/>
    <s v="2024-12-09"/>
    <s v="2024-12-14"/>
    <s v="2024-12-14"/>
    <n v="30"/>
    <n v="22"/>
    <n v="660"/>
    <s v="Entregue"/>
    <x v="1"/>
    <n v="5"/>
    <x v="5"/>
    <x v="5"/>
    <x v="0"/>
    <s v="S2"/>
  </r>
  <r>
    <s v="PC-2024-0104"/>
    <n v="15"/>
    <s v="Álcool Gel 5L"/>
    <n v="14"/>
    <x v="8"/>
    <x v="4"/>
    <s v="2024-06-10"/>
    <s v="2024-06-13"/>
    <s v="2024-06-15"/>
    <n v="1"/>
    <n v="15"/>
    <n v="15"/>
    <s v="Entregue"/>
    <x v="2"/>
    <n v="5"/>
    <x v="7"/>
    <x v="7"/>
    <x v="1"/>
    <s v="S1"/>
  </r>
  <r>
    <s v="PC-2024-0105"/>
    <n v="9"/>
    <s v="Grampeador"/>
    <n v="2"/>
    <x v="6"/>
    <x v="5"/>
    <s v="2024-08-22"/>
    <s v="2024-08-27"/>
    <s v="2024-08-27"/>
    <n v="37"/>
    <n v="35"/>
    <n v="1295"/>
    <s v="Entregue"/>
    <x v="1"/>
    <n v="5"/>
    <x v="9"/>
    <x v="9"/>
    <x v="3"/>
    <s v="S2"/>
  </r>
  <r>
    <s v="PC-2024-0106"/>
    <n v="8"/>
    <s v="Pasta Arquivo"/>
    <n v="2"/>
    <x v="6"/>
    <x v="5"/>
    <s v="2024-02-21"/>
    <s v="2024-02-26"/>
    <s v="2024-02-28"/>
    <n v="33"/>
    <n v="12"/>
    <n v="396"/>
    <s v="Entregue"/>
    <x v="2"/>
    <n v="7"/>
    <x v="2"/>
    <x v="2"/>
    <x v="2"/>
    <s v="S1"/>
  </r>
  <r>
    <s v="PC-2024-0107"/>
    <n v="14"/>
    <s v="Sabonete Líquido 5L"/>
    <n v="4"/>
    <x v="5"/>
    <x v="4"/>
    <s v="2024-05-15"/>
    <s v="2024-05-18"/>
    <s v="2024-05-21"/>
    <n v="5"/>
    <n v="30"/>
    <n v="150"/>
    <s v="Entregue"/>
    <x v="5"/>
    <n v="6"/>
    <x v="1"/>
    <x v="1"/>
    <x v="1"/>
    <s v="S1"/>
  </r>
  <r>
    <s v="PC-2024-0108"/>
    <n v="29"/>
    <s v="Marcador Quadro cx"/>
    <n v="3"/>
    <x v="9"/>
    <x v="5"/>
    <s v="2024-05-05"/>
    <s v="2024-05-10"/>
    <s v="2024-05-10"/>
    <n v="11"/>
    <n v="22"/>
    <n v="242"/>
    <s v="Entregue"/>
    <x v="1"/>
    <n v="5"/>
    <x v="1"/>
    <x v="1"/>
    <x v="1"/>
    <s v="S1"/>
  </r>
  <r>
    <s v="PC-2024-0109"/>
    <n v="26"/>
    <s v="Livro Didático"/>
    <n v="8"/>
    <x v="0"/>
    <x v="0"/>
    <s v="2024-08-12"/>
    <s v="2024-08-19"/>
    <s v="2024-08-19"/>
    <n v="46"/>
    <n v="85"/>
    <n v="3910"/>
    <s v="Entregue"/>
    <x v="1"/>
    <n v="7"/>
    <x v="9"/>
    <x v="9"/>
    <x v="3"/>
    <s v="S2"/>
  </r>
  <r>
    <s v="PC-2024-0110"/>
    <n v="18"/>
    <s v="Armário Aço"/>
    <n v="6"/>
    <x v="3"/>
    <x v="2"/>
    <s v="2024-06-03"/>
    <s v="2024-06-18"/>
    <s v="2024-06-18"/>
    <n v="42"/>
    <n v="900"/>
    <n v="37800"/>
    <s v="Entregue"/>
    <x v="1"/>
    <n v="15"/>
    <x v="7"/>
    <x v="7"/>
    <x v="1"/>
    <s v="S1"/>
  </r>
  <r>
    <s v="PC-2024-0111"/>
    <n v="28"/>
    <s v="Kit Educativo"/>
    <n v="8"/>
    <x v="0"/>
    <x v="0"/>
    <s v="2024-09-27"/>
    <s v="2024-10-04"/>
    <s v="2024-10-11"/>
    <n v="36"/>
    <n v="120"/>
    <n v="4320"/>
    <s v="Entregue"/>
    <x v="9"/>
    <n v="14"/>
    <x v="11"/>
    <x v="11"/>
    <x v="3"/>
    <s v="S2"/>
  </r>
  <r>
    <s v="PC-2024-0112"/>
    <n v="18"/>
    <s v="Armário Aço"/>
    <n v="6"/>
    <x v="3"/>
    <x v="2"/>
    <s v="2024-06-02"/>
    <s v="2024-06-17"/>
    <s v="2024-06-17"/>
    <n v="7"/>
    <n v="900"/>
    <n v="6300"/>
    <s v="Entregue"/>
    <x v="1"/>
    <n v="15"/>
    <x v="7"/>
    <x v="7"/>
    <x v="1"/>
    <s v="S1"/>
  </r>
  <r>
    <s v="PC-2024-0113"/>
    <n v="11"/>
    <s v="Detergente 5L"/>
    <n v="4"/>
    <x v="5"/>
    <x v="4"/>
    <s v="2024-03-09"/>
    <s v="2024-03-12"/>
    <s v="2024-03-12"/>
    <n v="7"/>
    <n v="18"/>
    <n v="126"/>
    <s v="Entregue"/>
    <x v="1"/>
    <n v="3"/>
    <x v="6"/>
    <x v="6"/>
    <x v="2"/>
    <s v="S1"/>
  </r>
  <r>
    <s v="PC-2024-0114"/>
    <n v="21"/>
    <s v="Projetor Epson"/>
    <n v="11"/>
    <x v="4"/>
    <x v="3"/>
    <s v="2024-10-10"/>
    <s v="2024-10-22"/>
    <s v="2024-10-25"/>
    <n v="39"/>
    <n v="2800"/>
    <n v="109200"/>
    <s v="Entregue"/>
    <x v="5"/>
    <n v="15"/>
    <x v="10"/>
    <x v="10"/>
    <x v="0"/>
    <s v="S2"/>
  </r>
  <r>
    <s v="PC-2024-0115"/>
    <n v="10"/>
    <s v="Calculadora"/>
    <n v="2"/>
    <x v="6"/>
    <x v="5"/>
    <s v="2024-04-17"/>
    <s v="2024-04-22"/>
    <s v="2024-04-22"/>
    <n v="14"/>
    <n v="45"/>
    <n v="630"/>
    <s v="Entregue"/>
    <x v="1"/>
    <n v="5"/>
    <x v="4"/>
    <x v="4"/>
    <x v="1"/>
    <s v="S1"/>
  </r>
  <r>
    <s v="PC-2024-0116"/>
    <n v="15"/>
    <s v="Álcool Gel 5L"/>
    <n v="14"/>
    <x v="8"/>
    <x v="4"/>
    <s v="2024-12-17"/>
    <s v="2024-12-20"/>
    <s v="2024-12-28"/>
    <n v="33"/>
    <n v="15"/>
    <n v="495"/>
    <s v="Entregue"/>
    <x v="6"/>
    <n v="11"/>
    <x v="5"/>
    <x v="5"/>
    <x v="0"/>
    <s v="S2"/>
  </r>
  <r>
    <s v="PC-2024-0117"/>
    <n v="26"/>
    <s v="Livro Didático"/>
    <n v="8"/>
    <x v="0"/>
    <x v="0"/>
    <s v="2024-09-07"/>
    <s v="2024-09-14"/>
    <s v="2024-09-14"/>
    <n v="4"/>
    <n v="85"/>
    <n v="340"/>
    <s v="Entregue"/>
    <x v="1"/>
    <n v="7"/>
    <x v="11"/>
    <x v="11"/>
    <x v="3"/>
    <s v="S2"/>
  </r>
  <r>
    <s v="PC-2024-0118"/>
    <n v="11"/>
    <s v="Detergente 5L"/>
    <n v="4"/>
    <x v="5"/>
    <x v="4"/>
    <s v="2024-02-17"/>
    <s v="2024-02-20"/>
    <s v="2024-02-20"/>
    <n v="18"/>
    <n v="18"/>
    <n v="324"/>
    <s v="Entregue"/>
    <x v="1"/>
    <n v="3"/>
    <x v="2"/>
    <x v="2"/>
    <x v="2"/>
    <s v="S1"/>
  </r>
  <r>
    <s v="PC-2024-0119"/>
    <n v="19"/>
    <s v="Estante"/>
    <n v="6"/>
    <x v="3"/>
    <x v="2"/>
    <s v="2024-01-23"/>
    <s v="2024-02-07"/>
    <s v="2024-02-14"/>
    <n v="9"/>
    <n v="450"/>
    <n v="4050"/>
    <s v="Entregue"/>
    <x v="9"/>
    <n v="22"/>
    <x v="3"/>
    <x v="3"/>
    <x v="2"/>
    <s v="S1"/>
  </r>
  <r>
    <s v="PC-2024-0120"/>
    <n v="10"/>
    <s v="Calculadora"/>
    <n v="2"/>
    <x v="6"/>
    <x v="5"/>
    <s v="2024-11-22"/>
    <s v="2024-11-27"/>
    <s v="2024-11-27"/>
    <n v="11"/>
    <n v="45"/>
    <n v="495"/>
    <s v="Entregue"/>
    <x v="1"/>
    <n v="5"/>
    <x v="0"/>
    <x v="0"/>
    <x v="0"/>
    <s v="S2"/>
  </r>
  <r>
    <s v="PC-2024-0121"/>
    <n v="11"/>
    <s v="Detergente 5L"/>
    <n v="4"/>
    <x v="5"/>
    <x v="4"/>
    <s v="2024-08-14"/>
    <s v="2024-08-17"/>
    <s v="2024-08-17"/>
    <n v="28"/>
    <n v="18"/>
    <n v="504"/>
    <s v="Entregue"/>
    <x v="1"/>
    <n v="3"/>
    <x v="9"/>
    <x v="9"/>
    <x v="3"/>
    <s v="S2"/>
  </r>
  <r>
    <s v="PC-2024-0122"/>
    <n v="20"/>
    <s v="Quadro Branco"/>
    <n v="6"/>
    <x v="3"/>
    <x v="2"/>
    <s v="2024-10-14"/>
    <s v="2024-10-29"/>
    <s v="2024-10-30"/>
    <n v="45"/>
    <n v="180"/>
    <n v="8100"/>
    <s v="Entregue"/>
    <x v="4"/>
    <n v="16"/>
    <x v="10"/>
    <x v="10"/>
    <x v="0"/>
    <s v="S2"/>
  </r>
  <r>
    <s v="PC-2024-0123"/>
    <n v="16"/>
    <s v="Cadeira Ergonômica"/>
    <n v="6"/>
    <x v="3"/>
    <x v="2"/>
    <s v="2024-03-17"/>
    <s v="2024-04-01"/>
    <s v="2024-04-01"/>
    <n v="24"/>
    <n v="850"/>
    <n v="20400"/>
    <s v="Entregue"/>
    <x v="1"/>
    <n v="15"/>
    <x v="6"/>
    <x v="6"/>
    <x v="2"/>
    <s v="S1"/>
  </r>
  <r>
    <s v="PC-2024-0124"/>
    <n v="17"/>
    <s v="Mesa Escritório"/>
    <n v="6"/>
    <x v="3"/>
    <x v="2"/>
    <s v="2024-10-25"/>
    <s v="2024-11-09"/>
    <s v="2024-11-09"/>
    <n v="28"/>
    <n v="1200"/>
    <n v="33600"/>
    <s v="Entregue"/>
    <x v="1"/>
    <n v="15"/>
    <x v="10"/>
    <x v="10"/>
    <x v="0"/>
    <s v="S2"/>
  </r>
  <r>
    <s v="PC-2024-0125"/>
    <n v="26"/>
    <s v="Livro Didático"/>
    <n v="8"/>
    <x v="0"/>
    <x v="0"/>
    <s v="2024-03-06"/>
    <s v="2024-03-13"/>
    <s v="2024-03-16"/>
    <n v="3"/>
    <n v="85"/>
    <n v="255"/>
    <s v="Entregue"/>
    <x v="5"/>
    <n v="10"/>
    <x v="6"/>
    <x v="6"/>
    <x v="2"/>
    <s v="S1"/>
  </r>
  <r>
    <s v="PC-2024-0126"/>
    <n v="22"/>
    <s v="Caixa de Som"/>
    <n v="11"/>
    <x v="4"/>
    <x v="3"/>
    <s v="2024-07-02"/>
    <s v="2024-07-14"/>
    <s v="2024-07-14"/>
    <n v="16"/>
    <n v="350"/>
    <n v="5600"/>
    <s v="Entregue"/>
    <x v="1"/>
    <n v="12"/>
    <x v="8"/>
    <x v="8"/>
    <x v="3"/>
    <s v="S2"/>
  </r>
  <r>
    <s v="PC-2024-0127"/>
    <n v="16"/>
    <s v="Cadeira Ergonômica"/>
    <n v="6"/>
    <x v="3"/>
    <x v="2"/>
    <s v="2024-12-07"/>
    <s v="2024-12-22"/>
    <s v="2024-12-29"/>
    <n v="36"/>
    <n v="850"/>
    <n v="30600"/>
    <s v="Entregue"/>
    <x v="9"/>
    <n v="22"/>
    <x v="5"/>
    <x v="5"/>
    <x v="0"/>
    <s v="S2"/>
  </r>
  <r>
    <s v="PC-2024-0128"/>
    <n v="23"/>
    <s v="Cabo HDMI"/>
    <n v="10"/>
    <x v="7"/>
    <x v="1"/>
    <s v="2024-07-27"/>
    <s v="2024-08-06"/>
    <s v="2024-08-06"/>
    <n v="48"/>
    <n v="25"/>
    <n v="1200"/>
    <s v="Entregue"/>
    <x v="1"/>
    <n v="10"/>
    <x v="8"/>
    <x v="8"/>
    <x v="3"/>
    <s v="S2"/>
  </r>
  <r>
    <s v="PC-2024-0129"/>
    <n v="22"/>
    <s v="Caixa de Som"/>
    <n v="11"/>
    <x v="4"/>
    <x v="3"/>
    <s v="2024-03-20"/>
    <s v="2024-04-01"/>
    <s v="2024-04-01"/>
    <n v="16"/>
    <n v="350"/>
    <n v="5600"/>
    <s v="Entregue"/>
    <x v="1"/>
    <n v="12"/>
    <x v="6"/>
    <x v="6"/>
    <x v="2"/>
    <s v="S1"/>
  </r>
  <r>
    <s v="PC-2024-0130"/>
    <n v="26"/>
    <s v="Livro Didático"/>
    <n v="8"/>
    <x v="0"/>
    <x v="0"/>
    <s v="2024-03-24"/>
    <s v="2024-03-31"/>
    <s v="2024-03-31"/>
    <n v="12"/>
    <n v="85"/>
    <n v="1020"/>
    <s v="Entregue"/>
    <x v="1"/>
    <n v="7"/>
    <x v="6"/>
    <x v="6"/>
    <x v="2"/>
    <s v="S1"/>
  </r>
  <r>
    <s v="PC-2024-0131"/>
    <n v="11"/>
    <s v="Detergente 5L"/>
    <n v="4"/>
    <x v="5"/>
    <x v="4"/>
    <s v="2024-07-30"/>
    <s v="2024-08-02"/>
    <s v="2024-08-08"/>
    <n v="22"/>
    <n v="18"/>
    <n v="396"/>
    <s v="Entregue"/>
    <x v="0"/>
    <n v="9"/>
    <x v="8"/>
    <x v="8"/>
    <x v="3"/>
    <s v="S2"/>
  </r>
  <r>
    <s v="PC-2024-0132"/>
    <n v="7"/>
    <s v="Caneta Esferográfica cx"/>
    <n v="2"/>
    <x v="6"/>
    <x v="5"/>
    <s v="2024-07-29"/>
    <s v="2024-08-03"/>
    <s v="2024-08-03"/>
    <n v="48"/>
    <n v="18"/>
    <n v="864"/>
    <s v="Entregue"/>
    <x v="1"/>
    <n v="5"/>
    <x v="8"/>
    <x v="8"/>
    <x v="3"/>
    <s v="S2"/>
  </r>
  <r>
    <s v="PC-2024-0133"/>
    <n v="10"/>
    <s v="Calculadora"/>
    <n v="2"/>
    <x v="6"/>
    <x v="5"/>
    <s v="2024-05-07"/>
    <s v="2024-05-12"/>
    <s v="2024-05-12"/>
    <n v="45"/>
    <n v="45"/>
    <n v="2025"/>
    <s v="Entregue"/>
    <x v="1"/>
    <n v="5"/>
    <x v="1"/>
    <x v="1"/>
    <x v="1"/>
    <s v="S1"/>
  </r>
  <r>
    <s v="PC-2024-0134"/>
    <n v="23"/>
    <s v="Cabo HDMI"/>
    <n v="10"/>
    <x v="7"/>
    <x v="1"/>
    <s v="2024-02-25"/>
    <s v="2024-03-06"/>
    <s v="2024-03-06"/>
    <n v="3"/>
    <n v="25"/>
    <n v="75"/>
    <s v="Entregue"/>
    <x v="1"/>
    <n v="10"/>
    <x v="2"/>
    <x v="2"/>
    <x v="2"/>
    <s v="S1"/>
  </r>
  <r>
    <s v="PC-2024-0135"/>
    <n v="21"/>
    <s v="Projetor Epson"/>
    <n v="11"/>
    <x v="4"/>
    <x v="3"/>
    <s v="2024-08-28"/>
    <s v="2024-09-09"/>
    <s v="2024-09-09"/>
    <n v="30"/>
    <n v="2800"/>
    <n v="84000"/>
    <s v="Entregue"/>
    <x v="1"/>
    <n v="12"/>
    <x v="9"/>
    <x v="9"/>
    <x v="3"/>
    <s v="S2"/>
  </r>
  <r>
    <s v="PC-2024-0136"/>
    <n v="2"/>
    <s v="Monitor 24&quot;"/>
    <n v="1"/>
    <x v="1"/>
    <x v="1"/>
    <s v="2024-06-28"/>
    <s v="2024-07-05"/>
    <s v="2024-07-05"/>
    <n v="15"/>
    <n v="1200"/>
    <n v="18000"/>
    <s v="Entregue"/>
    <x v="1"/>
    <n v="7"/>
    <x v="7"/>
    <x v="7"/>
    <x v="1"/>
    <s v="S1"/>
  </r>
  <r>
    <s v="PC-2024-0137"/>
    <n v="19"/>
    <s v="Estante"/>
    <n v="6"/>
    <x v="3"/>
    <x v="2"/>
    <s v="2024-04-24"/>
    <s v="2024-05-09"/>
    <s v="2024-05-11"/>
    <n v="26"/>
    <n v="450"/>
    <n v="11700"/>
    <s v="Entregue"/>
    <x v="2"/>
    <n v="17"/>
    <x v="4"/>
    <x v="4"/>
    <x v="1"/>
    <s v="S1"/>
  </r>
  <r>
    <s v="PC-2024-0138"/>
    <n v="16"/>
    <s v="Cadeira Ergonômica"/>
    <n v="6"/>
    <x v="3"/>
    <x v="2"/>
    <s v="2024-06-17"/>
    <s v="2024-07-02"/>
    <s v="2024-07-02"/>
    <n v="5"/>
    <n v="850"/>
    <n v="4250"/>
    <s v="Entregue"/>
    <x v="1"/>
    <n v="15"/>
    <x v="7"/>
    <x v="7"/>
    <x v="1"/>
    <s v="S1"/>
  </r>
  <r>
    <s v="PC-2024-0139"/>
    <n v="28"/>
    <s v="Kit Educativo"/>
    <n v="8"/>
    <x v="0"/>
    <x v="0"/>
    <s v="2024-05-22"/>
    <s v="2024-05-29"/>
    <s v="2024-05-29"/>
    <n v="33"/>
    <n v="120"/>
    <n v="3960"/>
    <s v="Entregue"/>
    <x v="1"/>
    <n v="7"/>
    <x v="1"/>
    <x v="1"/>
    <x v="1"/>
    <s v="S1"/>
  </r>
  <r>
    <s v="PC-2024-0140"/>
    <n v="26"/>
    <s v="Livro Didático"/>
    <n v="8"/>
    <x v="0"/>
    <x v="0"/>
    <s v="2024-07-23"/>
    <s v="2024-07-30"/>
    <s v="2024-07-30"/>
    <n v="35"/>
    <n v="85"/>
    <n v="2975"/>
    <s v="Entregue"/>
    <x v="1"/>
    <n v="7"/>
    <x v="8"/>
    <x v="8"/>
    <x v="3"/>
    <s v="S2"/>
  </r>
  <r>
    <s v="PC-2024-0141"/>
    <n v="22"/>
    <s v="Caixa de Som"/>
    <n v="11"/>
    <x v="4"/>
    <x v="3"/>
    <s v="2024-06-18"/>
    <s v="2024-06-30"/>
    <s v="2024-06-30"/>
    <n v="8"/>
    <n v="350"/>
    <n v="2800"/>
    <s v="Entregue"/>
    <x v="1"/>
    <n v="12"/>
    <x v="7"/>
    <x v="7"/>
    <x v="1"/>
    <s v="S1"/>
  </r>
  <r>
    <s v="PC-2024-0142"/>
    <n v="24"/>
    <s v="Switch 8 portas"/>
    <n v="10"/>
    <x v="7"/>
    <x v="1"/>
    <s v="2024-05-13"/>
    <s v="2024-05-23"/>
    <s v="2024-05-26"/>
    <n v="3"/>
    <n v="380"/>
    <n v="1140"/>
    <s v="Entregue"/>
    <x v="5"/>
    <n v="13"/>
    <x v="1"/>
    <x v="1"/>
    <x v="1"/>
    <s v="S1"/>
  </r>
  <r>
    <s v="PC-2024-0143"/>
    <n v="7"/>
    <s v="Caneta Esferográfica cx"/>
    <n v="2"/>
    <x v="6"/>
    <x v="5"/>
    <s v="2024-02-25"/>
    <s v="2024-03-01"/>
    <s v="2024-03-01"/>
    <n v="23"/>
    <n v="18"/>
    <n v="414"/>
    <s v="Entregue"/>
    <x v="1"/>
    <n v="5"/>
    <x v="2"/>
    <x v="2"/>
    <x v="2"/>
    <s v="S1"/>
  </r>
  <r>
    <s v="PC-2024-0144"/>
    <n v="9"/>
    <s v="Grampeador"/>
    <n v="2"/>
    <x v="6"/>
    <x v="5"/>
    <s v="2024-06-09"/>
    <s v="2024-06-14"/>
    <s v="2024-06-14"/>
    <n v="33"/>
    <n v="35"/>
    <n v="1155"/>
    <s v="Entregue"/>
    <x v="1"/>
    <n v="5"/>
    <x v="7"/>
    <x v="7"/>
    <x v="1"/>
    <s v="S1"/>
  </r>
  <r>
    <s v="PC-2024-0145"/>
    <n v="10"/>
    <s v="Calculadora"/>
    <n v="2"/>
    <x v="6"/>
    <x v="5"/>
    <s v="2024-02-29"/>
    <s v="2024-03-05"/>
    <s v="2024-03-05"/>
    <n v="37"/>
    <n v="45"/>
    <n v="1665"/>
    <s v="Entregue"/>
    <x v="1"/>
    <n v="5"/>
    <x v="2"/>
    <x v="2"/>
    <x v="2"/>
    <s v="S1"/>
  </r>
  <r>
    <s v="PC-2024-0146"/>
    <n v="24"/>
    <s v="Switch 8 portas"/>
    <n v="10"/>
    <x v="7"/>
    <x v="1"/>
    <s v="2024-04-07"/>
    <s v="2024-04-17"/>
    <s v="2024-04-17"/>
    <n v="46"/>
    <n v="380"/>
    <n v="17480"/>
    <s v="Entregue"/>
    <x v="1"/>
    <n v="10"/>
    <x v="4"/>
    <x v="4"/>
    <x v="1"/>
    <s v="S1"/>
  </r>
  <r>
    <s v="PC-2024-0147"/>
    <n v="8"/>
    <s v="Pasta Arquivo"/>
    <n v="2"/>
    <x v="6"/>
    <x v="5"/>
    <s v="2024-08-11"/>
    <s v="2024-08-16"/>
    <s v="2024-08-23"/>
    <n v="35"/>
    <n v="12"/>
    <n v="420"/>
    <s v="Entregue"/>
    <x v="9"/>
    <n v="12"/>
    <x v="9"/>
    <x v="9"/>
    <x v="3"/>
    <s v="S2"/>
  </r>
  <r>
    <s v="PC-2024-0148"/>
    <n v="7"/>
    <s v="Caneta Esferográfica cx"/>
    <n v="2"/>
    <x v="6"/>
    <x v="5"/>
    <s v="2024-12-17"/>
    <s v="2024-12-22"/>
    <s v="2024-12-22"/>
    <n v="48"/>
    <n v="18"/>
    <n v="864"/>
    <s v="Entregue"/>
    <x v="1"/>
    <n v="5"/>
    <x v="5"/>
    <x v="5"/>
    <x v="0"/>
    <s v="S2"/>
  </r>
  <r>
    <s v="PC-2024-0149"/>
    <n v="2"/>
    <s v="Monitor 24&quot;"/>
    <n v="1"/>
    <x v="1"/>
    <x v="1"/>
    <s v="2024-12-09"/>
    <s v="2024-12-16"/>
    <s v="2024-12-20"/>
    <n v="5"/>
    <n v="1200"/>
    <n v="6000"/>
    <s v="Entregue"/>
    <x v="3"/>
    <n v="11"/>
    <x v="5"/>
    <x v="5"/>
    <x v="0"/>
    <s v="S2"/>
  </r>
  <r>
    <s v="PC-2024-0150"/>
    <n v="25"/>
    <s v="Roteador WiFi"/>
    <n v="10"/>
    <x v="7"/>
    <x v="1"/>
    <s v="2024-12-06"/>
    <s v="2024-12-16"/>
    <s v="2024-12-16"/>
    <n v="40"/>
    <n v="420"/>
    <n v="16800"/>
    <s v="Entregue"/>
    <x v="1"/>
    <n v="10"/>
    <x v="5"/>
    <x v="5"/>
    <x v="0"/>
    <s v="S2"/>
  </r>
  <r>
    <s v="PC-2024-0151"/>
    <n v="14"/>
    <s v="Sabonete Líquido 5L"/>
    <n v="4"/>
    <x v="5"/>
    <x v="4"/>
    <s v="2024-06-09"/>
    <s v="2024-06-12"/>
    <s v="2024-06-12"/>
    <n v="8"/>
    <n v="30"/>
    <n v="240"/>
    <s v="Entregue"/>
    <x v="1"/>
    <n v="3"/>
    <x v="7"/>
    <x v="7"/>
    <x v="1"/>
    <s v="S1"/>
  </r>
  <r>
    <s v="PC-2024-0152"/>
    <n v="21"/>
    <s v="Projetor Epson"/>
    <n v="11"/>
    <x v="4"/>
    <x v="3"/>
    <s v="2024-06-02"/>
    <s v="2024-06-14"/>
    <s v="2024-06-14"/>
    <n v="43"/>
    <n v="2800"/>
    <n v="120400"/>
    <s v="Entregue"/>
    <x v="1"/>
    <n v="12"/>
    <x v="7"/>
    <x v="7"/>
    <x v="1"/>
    <s v="S1"/>
  </r>
  <r>
    <s v="PC-2024-0153"/>
    <n v="5"/>
    <s v="Webcam HD"/>
    <n v="5"/>
    <x v="2"/>
    <x v="1"/>
    <s v="2024-07-28"/>
    <s v="2024-08-07"/>
    <s v="2024-08-07"/>
    <n v="45"/>
    <n v="250"/>
    <n v="11250"/>
    <s v="Entregue"/>
    <x v="1"/>
    <n v="10"/>
    <x v="8"/>
    <x v="8"/>
    <x v="3"/>
    <s v="S2"/>
  </r>
  <r>
    <s v="PC-2024-0154"/>
    <n v="13"/>
    <s v="Papel Higiênico fardo"/>
    <n v="4"/>
    <x v="5"/>
    <x v="4"/>
    <s v="2024-05-31"/>
    <s v="2024-06-03"/>
    <s v="2024-06-03"/>
    <n v="13"/>
    <n v="65"/>
    <n v="845"/>
    <s v="Entregue"/>
    <x v="1"/>
    <n v="3"/>
    <x v="1"/>
    <x v="1"/>
    <x v="1"/>
    <s v="S1"/>
  </r>
  <r>
    <s v="PC-2024-0155"/>
    <n v="11"/>
    <s v="Detergente 5L"/>
    <n v="4"/>
    <x v="5"/>
    <x v="4"/>
    <s v="2024-08-03"/>
    <s v="2024-08-06"/>
    <s v="2024-08-06"/>
    <n v="25"/>
    <n v="18"/>
    <n v="450"/>
    <s v="Entregue"/>
    <x v="1"/>
    <n v="3"/>
    <x v="9"/>
    <x v="9"/>
    <x v="3"/>
    <s v="S2"/>
  </r>
  <r>
    <s v="PC-2024-0156"/>
    <n v="21"/>
    <s v="Projetor Epson"/>
    <n v="11"/>
    <x v="4"/>
    <x v="3"/>
    <s v="2024-12-12"/>
    <s v="2024-12-24"/>
    <s v="2024-12-24"/>
    <n v="12"/>
    <n v="2800"/>
    <n v="33600"/>
    <s v="Entregue"/>
    <x v="1"/>
    <n v="12"/>
    <x v="5"/>
    <x v="5"/>
    <x v="0"/>
    <s v="S2"/>
  </r>
  <r>
    <s v="PC-2024-0157"/>
    <n v="14"/>
    <s v="Sabonete Líquido 5L"/>
    <n v="4"/>
    <x v="5"/>
    <x v="4"/>
    <s v="2024-11-11"/>
    <s v="2024-11-14"/>
    <s v="2024-11-14"/>
    <n v="26"/>
    <n v="30"/>
    <n v="780"/>
    <s v="Entregue"/>
    <x v="1"/>
    <n v="3"/>
    <x v="0"/>
    <x v="0"/>
    <x v="0"/>
    <s v="S2"/>
  </r>
  <r>
    <s v="PC-2024-0158"/>
    <n v="8"/>
    <s v="Pasta Arquivo"/>
    <n v="2"/>
    <x v="6"/>
    <x v="5"/>
    <s v="2024-10-07"/>
    <s v="2024-10-12"/>
    <s v="2024-10-12"/>
    <n v="20"/>
    <n v="12"/>
    <n v="240"/>
    <s v="Entregue"/>
    <x v="1"/>
    <n v="5"/>
    <x v="10"/>
    <x v="10"/>
    <x v="0"/>
    <s v="S2"/>
  </r>
  <r>
    <s v="PC-2024-0159"/>
    <n v="6"/>
    <s v="Resma de Papel A4"/>
    <n v="2"/>
    <x v="6"/>
    <x v="5"/>
    <s v="2024-05-26"/>
    <s v="2024-05-31"/>
    <s v="2024-05-31"/>
    <n v="38"/>
    <n v="25"/>
    <n v="950"/>
    <s v="Entregue"/>
    <x v="1"/>
    <n v="5"/>
    <x v="1"/>
    <x v="1"/>
    <x v="1"/>
    <s v="S1"/>
  </r>
  <r>
    <s v="PC-2024-0160"/>
    <n v="23"/>
    <s v="Cabo HDMI"/>
    <n v="10"/>
    <x v="7"/>
    <x v="1"/>
    <s v="2024-11-06"/>
    <s v="2024-11-16"/>
    <s v="2024-11-16"/>
    <n v="30"/>
    <n v="25"/>
    <n v="750"/>
    <s v="Entregue"/>
    <x v="1"/>
    <n v="10"/>
    <x v="0"/>
    <x v="0"/>
    <x v="0"/>
    <s v="S2"/>
  </r>
  <r>
    <s v="PC-2024-0161"/>
    <n v="19"/>
    <s v="Estante"/>
    <n v="6"/>
    <x v="3"/>
    <x v="2"/>
    <s v="2024-08-14"/>
    <s v="2024-08-29"/>
    <s v="2024-08-29"/>
    <n v="14"/>
    <n v="450"/>
    <n v="6300"/>
    <s v="Entregue"/>
    <x v="1"/>
    <n v="15"/>
    <x v="9"/>
    <x v="9"/>
    <x v="3"/>
    <s v="S2"/>
  </r>
  <r>
    <s v="PC-2024-0162"/>
    <n v="17"/>
    <s v="Mesa Escritório"/>
    <n v="6"/>
    <x v="3"/>
    <x v="2"/>
    <s v="2024-09-18"/>
    <s v="2024-10-03"/>
    <s v="2024-10-03"/>
    <n v="48"/>
    <n v="1200"/>
    <n v="57600"/>
    <s v="Entregue"/>
    <x v="1"/>
    <n v="15"/>
    <x v="11"/>
    <x v="11"/>
    <x v="3"/>
    <s v="S2"/>
  </r>
  <r>
    <s v="PC-2024-0163"/>
    <n v="17"/>
    <s v="Mesa Escritório"/>
    <n v="6"/>
    <x v="3"/>
    <x v="2"/>
    <s v="2024-03-27"/>
    <s v="2024-04-11"/>
    <s v="2024-04-11"/>
    <n v="19"/>
    <n v="1200"/>
    <n v="22800"/>
    <s v="Entregue"/>
    <x v="1"/>
    <n v="15"/>
    <x v="6"/>
    <x v="6"/>
    <x v="2"/>
    <s v="S1"/>
  </r>
  <r>
    <s v="PC-2024-0164"/>
    <n v="22"/>
    <s v="Caixa de Som"/>
    <n v="11"/>
    <x v="4"/>
    <x v="3"/>
    <s v="2024-09-20"/>
    <s v="2024-10-02"/>
    <s v="2024-10-02"/>
    <n v="40"/>
    <n v="350"/>
    <n v="14000"/>
    <s v="Entregue"/>
    <x v="1"/>
    <n v="12"/>
    <x v="11"/>
    <x v="11"/>
    <x v="3"/>
    <s v="S2"/>
  </r>
  <r>
    <s v="PC-2024-0165"/>
    <n v="15"/>
    <s v="Álcool Gel 5L"/>
    <n v="14"/>
    <x v="8"/>
    <x v="4"/>
    <s v="2024-06-20"/>
    <s v="2024-06-23"/>
    <s v="2024-06-25"/>
    <n v="49"/>
    <n v="15"/>
    <n v="735"/>
    <s v="Entregue"/>
    <x v="2"/>
    <n v="5"/>
    <x v="7"/>
    <x v="7"/>
    <x v="1"/>
    <s v="S1"/>
  </r>
  <r>
    <s v="PC-2024-0166"/>
    <n v="25"/>
    <s v="Roteador WiFi"/>
    <n v="10"/>
    <x v="7"/>
    <x v="1"/>
    <s v="2024-04-30"/>
    <s v="2024-05-10"/>
    <s v="2024-05-10"/>
    <n v="15"/>
    <n v="420"/>
    <n v="6300"/>
    <s v="Entregue"/>
    <x v="1"/>
    <n v="10"/>
    <x v="4"/>
    <x v="4"/>
    <x v="1"/>
    <s v="S1"/>
  </r>
  <r>
    <s v="PC-2024-0167"/>
    <n v="5"/>
    <s v="Webcam HD"/>
    <n v="5"/>
    <x v="2"/>
    <x v="1"/>
    <s v="2024-04-11"/>
    <s v="2024-04-21"/>
    <s v="2024-04-22"/>
    <n v="16"/>
    <n v="250"/>
    <n v="4000"/>
    <s v="Entregue"/>
    <x v="4"/>
    <n v="11"/>
    <x v="4"/>
    <x v="4"/>
    <x v="1"/>
    <s v="S1"/>
  </r>
  <r>
    <s v="PC-2024-0168"/>
    <n v="6"/>
    <s v="Resma de Papel A4"/>
    <n v="2"/>
    <x v="6"/>
    <x v="5"/>
    <s v="2024-08-31"/>
    <s v="2024-09-05"/>
    <s v="2024-09-05"/>
    <n v="50"/>
    <n v="25"/>
    <n v="1250"/>
    <s v="Entregue"/>
    <x v="1"/>
    <n v="5"/>
    <x v="9"/>
    <x v="9"/>
    <x v="3"/>
    <s v="S2"/>
  </r>
  <r>
    <s v="PC-2024-0169"/>
    <n v="4"/>
    <s v="Mouse Sem Fio"/>
    <n v="1"/>
    <x v="1"/>
    <x v="1"/>
    <s v="2024-02-07"/>
    <s v="2024-02-14"/>
    <s v="2024-02-14"/>
    <n v="41"/>
    <n v="80"/>
    <n v="3280"/>
    <s v="Entregue"/>
    <x v="1"/>
    <n v="7"/>
    <x v="2"/>
    <x v="2"/>
    <x v="2"/>
    <s v="S1"/>
  </r>
  <r>
    <s v="PC-2024-0170"/>
    <n v="28"/>
    <s v="Kit Educativo"/>
    <n v="8"/>
    <x v="0"/>
    <x v="0"/>
    <s v="2024-10-21"/>
    <s v="2024-10-28"/>
    <s v="2024-11-03"/>
    <n v="25"/>
    <n v="120"/>
    <n v="3000"/>
    <s v="Entregue"/>
    <x v="0"/>
    <n v="13"/>
    <x v="10"/>
    <x v="10"/>
    <x v="0"/>
    <s v="S2"/>
  </r>
  <r>
    <s v="PC-2024-0171"/>
    <n v="24"/>
    <s v="Switch 8 portas"/>
    <n v="10"/>
    <x v="7"/>
    <x v="1"/>
    <s v="2024-09-10"/>
    <s v="2024-09-20"/>
    <s v="2024-09-20"/>
    <n v="10"/>
    <n v="380"/>
    <n v="3800"/>
    <s v="Entregue"/>
    <x v="1"/>
    <n v="10"/>
    <x v="11"/>
    <x v="11"/>
    <x v="3"/>
    <s v="S2"/>
  </r>
  <r>
    <s v="PC-2024-0172"/>
    <n v="21"/>
    <s v="Projetor Epson"/>
    <n v="11"/>
    <x v="4"/>
    <x v="3"/>
    <s v="2024-12-01"/>
    <s v="2024-12-13"/>
    <s v="2024-12-13"/>
    <n v="49"/>
    <n v="2800"/>
    <n v="137200"/>
    <s v="Entregue"/>
    <x v="1"/>
    <n v="12"/>
    <x v="5"/>
    <x v="5"/>
    <x v="0"/>
    <s v="S2"/>
  </r>
  <r>
    <s v="PC-2024-0173"/>
    <n v="28"/>
    <s v="Kit Educativo"/>
    <n v="8"/>
    <x v="0"/>
    <x v="0"/>
    <s v="2024-02-24"/>
    <s v="2024-03-02"/>
    <s v="2024-03-02"/>
    <n v="15"/>
    <n v="120"/>
    <n v="1800"/>
    <s v="Entregue"/>
    <x v="1"/>
    <n v="7"/>
    <x v="2"/>
    <x v="2"/>
    <x v="2"/>
    <s v="S1"/>
  </r>
  <r>
    <s v="PC-2024-0174"/>
    <n v="9"/>
    <s v="Grampeador"/>
    <n v="2"/>
    <x v="6"/>
    <x v="5"/>
    <s v="2024-03-31"/>
    <s v="2024-04-05"/>
    <s v="2024-04-05"/>
    <n v="45"/>
    <n v="35"/>
    <n v="1575"/>
    <s v="Entregue"/>
    <x v="1"/>
    <n v="5"/>
    <x v="6"/>
    <x v="6"/>
    <x v="2"/>
    <s v="S1"/>
  </r>
  <r>
    <s v="PC-2024-0175"/>
    <n v="20"/>
    <s v="Quadro Branco"/>
    <n v="6"/>
    <x v="3"/>
    <x v="2"/>
    <s v="2024-09-22"/>
    <s v="2024-10-07"/>
    <s v="2024-10-07"/>
    <n v="36"/>
    <n v="180"/>
    <n v="6480"/>
    <s v="Entregue"/>
    <x v="1"/>
    <n v="15"/>
    <x v="11"/>
    <x v="11"/>
    <x v="3"/>
    <s v="S2"/>
  </r>
  <r>
    <s v="PC-2024-0176"/>
    <n v="30"/>
    <s v="Apagador"/>
    <n v="3"/>
    <x v="9"/>
    <x v="5"/>
    <s v="2024-05-07"/>
    <s v="2024-05-12"/>
    <s v="2024-05-12"/>
    <n v="8"/>
    <n v="18"/>
    <n v="144"/>
    <s v="Entregue"/>
    <x v="1"/>
    <n v="5"/>
    <x v="1"/>
    <x v="1"/>
    <x v="1"/>
    <s v="S1"/>
  </r>
  <r>
    <s v="PC-2024-0177"/>
    <n v="13"/>
    <s v="Papel Higiênico fardo"/>
    <n v="4"/>
    <x v="5"/>
    <x v="4"/>
    <s v="2024-08-21"/>
    <s v="2024-08-24"/>
    <s v="2024-08-28"/>
    <n v="43"/>
    <n v="65"/>
    <n v="2795"/>
    <s v="Entregue"/>
    <x v="3"/>
    <n v="7"/>
    <x v="9"/>
    <x v="9"/>
    <x v="3"/>
    <s v="S2"/>
  </r>
  <r>
    <s v="PC-2024-0178"/>
    <n v="17"/>
    <s v="Mesa Escritório"/>
    <n v="6"/>
    <x v="3"/>
    <x v="2"/>
    <s v="2024-09-28"/>
    <s v="2024-10-13"/>
    <s v="2024-10-13"/>
    <n v="39"/>
    <n v="1200"/>
    <n v="46800"/>
    <s v="Entregue"/>
    <x v="1"/>
    <n v="15"/>
    <x v="11"/>
    <x v="11"/>
    <x v="3"/>
    <s v="S2"/>
  </r>
  <r>
    <s v="PC-2024-0179"/>
    <n v="7"/>
    <s v="Caneta Esferográfica cx"/>
    <n v="2"/>
    <x v="6"/>
    <x v="5"/>
    <s v="2024-06-11"/>
    <s v="2024-06-16"/>
    <s v="2024-06-16"/>
    <n v="29"/>
    <n v="18"/>
    <n v="522"/>
    <s v="Entregue"/>
    <x v="1"/>
    <n v="5"/>
    <x v="7"/>
    <x v="7"/>
    <x v="1"/>
    <s v="S1"/>
  </r>
  <r>
    <s v="PC-2024-0180"/>
    <n v="2"/>
    <s v="Monitor 24&quot;"/>
    <n v="1"/>
    <x v="1"/>
    <x v="1"/>
    <s v="2024-11-09"/>
    <s v="2024-11-16"/>
    <s v="2024-11-16"/>
    <n v="33"/>
    <n v="1200"/>
    <n v="39600"/>
    <s v="Entregue"/>
    <x v="1"/>
    <n v="7"/>
    <x v="0"/>
    <x v="0"/>
    <x v="0"/>
    <s v="S2"/>
  </r>
  <r>
    <s v="PC-2024-0181"/>
    <n v="27"/>
    <s v="Apostila impressa"/>
    <n v="8"/>
    <x v="0"/>
    <x v="0"/>
    <s v="2024-08-06"/>
    <s v="2024-08-13"/>
    <s v="2024-08-13"/>
    <n v="36"/>
    <n v="40"/>
    <n v="1440"/>
    <s v="Entregue"/>
    <x v="1"/>
    <n v="7"/>
    <x v="9"/>
    <x v="9"/>
    <x v="3"/>
    <s v="S2"/>
  </r>
  <r>
    <s v="PC-2024-0182"/>
    <n v="23"/>
    <s v="Cabo HDMI"/>
    <n v="10"/>
    <x v="7"/>
    <x v="1"/>
    <s v="2024-08-16"/>
    <s v="2024-08-26"/>
    <s v="2024-08-26"/>
    <n v="48"/>
    <n v="25"/>
    <n v="1200"/>
    <s v="Entregue"/>
    <x v="1"/>
    <n v="10"/>
    <x v="9"/>
    <x v="9"/>
    <x v="3"/>
    <s v="S2"/>
  </r>
  <r>
    <s v="PC-2024-0183"/>
    <n v="6"/>
    <s v="Resma de Papel A4"/>
    <n v="2"/>
    <x v="6"/>
    <x v="5"/>
    <s v="2024-08-31"/>
    <s v="2024-09-05"/>
    <s v="2024-09-05"/>
    <n v="49"/>
    <n v="25"/>
    <n v="1225"/>
    <s v="Entregue"/>
    <x v="1"/>
    <n v="5"/>
    <x v="9"/>
    <x v="9"/>
    <x v="3"/>
    <s v="S2"/>
  </r>
  <r>
    <s v="PC-2024-0184"/>
    <n v="10"/>
    <s v="Calculadora"/>
    <n v="2"/>
    <x v="6"/>
    <x v="5"/>
    <s v="2024-05-06"/>
    <s v="2024-05-11"/>
    <s v="2024-05-11"/>
    <n v="18"/>
    <n v="45"/>
    <n v="810"/>
    <s v="Entregue"/>
    <x v="1"/>
    <n v="5"/>
    <x v="1"/>
    <x v="1"/>
    <x v="1"/>
    <s v="S1"/>
  </r>
  <r>
    <s v="PC-2024-0185"/>
    <n v="9"/>
    <s v="Grampeador"/>
    <n v="2"/>
    <x v="6"/>
    <x v="5"/>
    <s v="2024-09-23"/>
    <s v="2024-09-28"/>
    <s v="2024-09-28"/>
    <n v="16"/>
    <n v="35"/>
    <n v="560"/>
    <s v="Entregue"/>
    <x v="1"/>
    <n v="5"/>
    <x v="11"/>
    <x v="11"/>
    <x v="3"/>
    <s v="S2"/>
  </r>
  <r>
    <s v="PC-2024-0186"/>
    <n v="11"/>
    <s v="Detergente 5L"/>
    <n v="4"/>
    <x v="5"/>
    <x v="4"/>
    <s v="2024-05-20"/>
    <s v="2024-05-23"/>
    <s v="2024-05-23"/>
    <n v="46"/>
    <n v="18"/>
    <n v="828"/>
    <s v="Entregue"/>
    <x v="1"/>
    <n v="3"/>
    <x v="1"/>
    <x v="1"/>
    <x v="1"/>
    <s v="S1"/>
  </r>
  <r>
    <s v="PC-2024-0187"/>
    <n v="24"/>
    <s v="Switch 8 portas"/>
    <n v="10"/>
    <x v="7"/>
    <x v="1"/>
    <s v="2024-05-26"/>
    <s v="2024-06-05"/>
    <s v="2024-06-05"/>
    <n v="22"/>
    <n v="380"/>
    <n v="8360"/>
    <s v="Entregue"/>
    <x v="1"/>
    <n v="10"/>
    <x v="1"/>
    <x v="1"/>
    <x v="1"/>
    <s v="S1"/>
  </r>
  <r>
    <s v="PC-2024-0188"/>
    <n v="5"/>
    <s v="Webcam HD"/>
    <n v="5"/>
    <x v="2"/>
    <x v="1"/>
    <s v="2024-06-12"/>
    <s v="2024-06-22"/>
    <s v="2024-06-22"/>
    <n v="6"/>
    <n v="250"/>
    <n v="1500"/>
    <s v="Entregue"/>
    <x v="1"/>
    <n v="10"/>
    <x v="7"/>
    <x v="7"/>
    <x v="1"/>
    <s v="S1"/>
  </r>
  <r>
    <s v="PC-2024-0189"/>
    <n v="28"/>
    <s v="Kit Educativo"/>
    <n v="8"/>
    <x v="0"/>
    <x v="0"/>
    <s v="2024-03-11"/>
    <s v="2024-03-18"/>
    <s v="2024-03-22"/>
    <n v="45"/>
    <n v="120"/>
    <n v="5400"/>
    <s v="Entregue"/>
    <x v="3"/>
    <n v="11"/>
    <x v="6"/>
    <x v="6"/>
    <x v="2"/>
    <s v="S1"/>
  </r>
  <r>
    <s v="PC-2024-0190"/>
    <n v="16"/>
    <s v="Cadeira Ergonômica"/>
    <n v="6"/>
    <x v="3"/>
    <x v="2"/>
    <s v="2024-03-19"/>
    <s v="2024-04-03"/>
    <s v="2024-04-03"/>
    <n v="5"/>
    <n v="850"/>
    <n v="4250"/>
    <s v="Entregue"/>
    <x v="1"/>
    <n v="15"/>
    <x v="6"/>
    <x v="6"/>
    <x v="2"/>
    <s v="S1"/>
  </r>
  <r>
    <s v="PC-2024-0191"/>
    <n v="22"/>
    <s v="Caixa de Som"/>
    <n v="11"/>
    <x v="4"/>
    <x v="3"/>
    <s v="2024-07-31"/>
    <s v="2024-08-12"/>
    <s v="2024-08-12"/>
    <n v="35"/>
    <n v="350"/>
    <n v="12250"/>
    <s v="Entregue"/>
    <x v="1"/>
    <n v="12"/>
    <x v="8"/>
    <x v="8"/>
    <x v="3"/>
    <s v="S2"/>
  </r>
  <r>
    <s v="PC-2024-0192"/>
    <n v="24"/>
    <s v="Switch 8 portas"/>
    <n v="10"/>
    <x v="7"/>
    <x v="1"/>
    <s v="2024-08-26"/>
    <s v="2024-09-05"/>
    <s v="2024-09-05"/>
    <n v="14"/>
    <n v="380"/>
    <n v="5320"/>
    <s v="Entregue"/>
    <x v="1"/>
    <n v="10"/>
    <x v="9"/>
    <x v="9"/>
    <x v="3"/>
    <s v="S2"/>
  </r>
  <r>
    <s v="PC-2024-0193"/>
    <n v="7"/>
    <s v="Caneta Esferográfica cx"/>
    <n v="2"/>
    <x v="6"/>
    <x v="5"/>
    <s v="2024-08-03"/>
    <s v="2024-08-08"/>
    <s v="2024-08-08"/>
    <n v="50"/>
    <n v="18"/>
    <n v="900"/>
    <s v="Entregue"/>
    <x v="1"/>
    <n v="5"/>
    <x v="9"/>
    <x v="9"/>
    <x v="3"/>
    <s v="S2"/>
  </r>
  <r>
    <s v="PC-2024-0194"/>
    <n v="2"/>
    <s v="Monitor 24&quot;"/>
    <n v="1"/>
    <x v="1"/>
    <x v="1"/>
    <s v="2024-10-26"/>
    <s v="2024-11-02"/>
    <s v="2024-11-02"/>
    <n v="2"/>
    <n v="1200"/>
    <n v="2400"/>
    <s v="Entregue"/>
    <x v="1"/>
    <n v="7"/>
    <x v="10"/>
    <x v="10"/>
    <x v="0"/>
    <s v="S2"/>
  </r>
  <r>
    <s v="PC-2024-0195"/>
    <n v="14"/>
    <s v="Sabonete Líquido 5L"/>
    <n v="4"/>
    <x v="5"/>
    <x v="4"/>
    <s v="2024-10-21"/>
    <s v="2024-10-24"/>
    <s v="2024-10-24"/>
    <n v="1"/>
    <n v="30"/>
    <n v="30"/>
    <s v="Entregue"/>
    <x v="1"/>
    <n v="3"/>
    <x v="10"/>
    <x v="10"/>
    <x v="0"/>
    <s v="S2"/>
  </r>
  <r>
    <s v="PC-2024-0196"/>
    <n v="2"/>
    <s v="Monitor 24&quot;"/>
    <n v="1"/>
    <x v="1"/>
    <x v="1"/>
    <s v="2024-06-29"/>
    <s v="2024-07-06"/>
    <s v="2024-07-06"/>
    <n v="25"/>
    <n v="1200"/>
    <n v="30000"/>
    <s v="Entregue"/>
    <x v="1"/>
    <n v="7"/>
    <x v="7"/>
    <x v="7"/>
    <x v="1"/>
    <s v="S1"/>
  </r>
  <r>
    <s v="PC-2024-0197"/>
    <n v="8"/>
    <s v="Pasta Arquivo"/>
    <n v="2"/>
    <x v="6"/>
    <x v="5"/>
    <s v="2024-08-02"/>
    <s v="2024-08-07"/>
    <s v="2024-08-07"/>
    <n v="48"/>
    <n v="12"/>
    <n v="576"/>
    <s v="Entregue"/>
    <x v="1"/>
    <n v="5"/>
    <x v="9"/>
    <x v="9"/>
    <x v="3"/>
    <s v="S2"/>
  </r>
  <r>
    <s v="PC-2024-0198"/>
    <n v="9"/>
    <s v="Grampeador"/>
    <n v="2"/>
    <x v="6"/>
    <x v="5"/>
    <s v="2024-10-06"/>
    <s v="2024-10-11"/>
    <s v="2024-10-11"/>
    <n v="15"/>
    <n v="35"/>
    <n v="525"/>
    <s v="Entregue"/>
    <x v="1"/>
    <n v="5"/>
    <x v="10"/>
    <x v="10"/>
    <x v="0"/>
    <s v="S2"/>
  </r>
  <r>
    <s v="PC-2024-0199"/>
    <n v="4"/>
    <s v="Mouse Sem Fio"/>
    <n v="1"/>
    <x v="1"/>
    <x v="1"/>
    <s v="2024-09-06"/>
    <s v="2024-09-13"/>
    <s v="2024-09-13"/>
    <n v="28"/>
    <n v="80"/>
    <n v="2240"/>
    <s v="Entregue"/>
    <x v="1"/>
    <n v="7"/>
    <x v="11"/>
    <x v="11"/>
    <x v="3"/>
    <s v="S2"/>
  </r>
  <r>
    <s v="PC-2024-0200"/>
    <n v="22"/>
    <s v="Caixa de Som"/>
    <n v="11"/>
    <x v="4"/>
    <x v="3"/>
    <s v="2024-09-05"/>
    <s v="2024-09-17"/>
    <s v="2024-09-20"/>
    <n v="43"/>
    <n v="350"/>
    <n v="15050"/>
    <s v="Entregue"/>
    <x v="5"/>
    <n v="15"/>
    <x v="11"/>
    <x v="11"/>
    <x v="3"/>
    <s v="S2"/>
  </r>
  <r>
    <s v="PC-2024-0201"/>
    <n v="6"/>
    <s v="Resma de Papel A4"/>
    <n v="2"/>
    <x v="6"/>
    <x v="5"/>
    <s v="2024-12-13"/>
    <s v="2024-12-18"/>
    <s v="2024-12-18"/>
    <n v="47"/>
    <n v="25"/>
    <n v="1175"/>
    <s v="Entregue"/>
    <x v="1"/>
    <n v="5"/>
    <x v="5"/>
    <x v="5"/>
    <x v="0"/>
    <s v="S2"/>
  </r>
  <r>
    <s v="PC-2024-0202"/>
    <n v="8"/>
    <s v="Pasta Arquivo"/>
    <n v="2"/>
    <x v="6"/>
    <x v="5"/>
    <s v="2024-03-25"/>
    <s v="2024-03-30"/>
    <s v="2024-03-30"/>
    <n v="9"/>
    <n v="12"/>
    <n v="108"/>
    <s v="Entregue"/>
    <x v="1"/>
    <n v="5"/>
    <x v="6"/>
    <x v="6"/>
    <x v="2"/>
    <s v="S1"/>
  </r>
  <r>
    <s v="PC-2024-0203"/>
    <n v="26"/>
    <s v="Livro Didático"/>
    <n v="8"/>
    <x v="0"/>
    <x v="0"/>
    <s v="2024-11-14"/>
    <s v="2024-11-21"/>
    <s v="2024-11-21"/>
    <n v="26"/>
    <n v="85"/>
    <n v="2210"/>
    <s v="Entregue"/>
    <x v="1"/>
    <n v="7"/>
    <x v="0"/>
    <x v="0"/>
    <x v="0"/>
    <s v="S2"/>
  </r>
  <r>
    <s v="PC-2024-0204"/>
    <n v="30"/>
    <s v="Apagador"/>
    <n v="3"/>
    <x v="9"/>
    <x v="5"/>
    <s v="2024-10-30"/>
    <s v="2024-11-04"/>
    <s v="2024-11-04"/>
    <n v="2"/>
    <n v="18"/>
    <n v="36"/>
    <s v="Entregue"/>
    <x v="1"/>
    <n v="5"/>
    <x v="10"/>
    <x v="10"/>
    <x v="0"/>
    <s v="S2"/>
  </r>
  <r>
    <s v="PC-2024-0205"/>
    <n v="14"/>
    <s v="Sabonete Líquido 5L"/>
    <n v="4"/>
    <x v="5"/>
    <x v="4"/>
    <s v="2024-02-12"/>
    <s v="2024-02-15"/>
    <s v="2024-02-15"/>
    <n v="9"/>
    <n v="30"/>
    <n v="270"/>
    <s v="Entregue"/>
    <x v="1"/>
    <n v="3"/>
    <x v="2"/>
    <x v="2"/>
    <x v="2"/>
    <s v="S1"/>
  </r>
  <r>
    <s v="PC-2024-0206"/>
    <n v="17"/>
    <s v="Mesa Escritório"/>
    <n v="6"/>
    <x v="3"/>
    <x v="2"/>
    <s v="2024-08-24"/>
    <s v="2024-09-08"/>
    <s v="2024-09-11"/>
    <n v="25"/>
    <n v="1200"/>
    <n v="30000"/>
    <s v="Entregue"/>
    <x v="5"/>
    <n v="18"/>
    <x v="9"/>
    <x v="9"/>
    <x v="3"/>
    <s v="S2"/>
  </r>
  <r>
    <s v="PC-2024-0207"/>
    <n v="9"/>
    <s v="Grampeador"/>
    <n v="2"/>
    <x v="6"/>
    <x v="5"/>
    <s v="2024-06-16"/>
    <s v="2024-06-21"/>
    <s v="2024-06-21"/>
    <n v="21"/>
    <n v="35"/>
    <n v="735"/>
    <s v="Entregue"/>
    <x v="1"/>
    <n v="5"/>
    <x v="7"/>
    <x v="7"/>
    <x v="1"/>
    <s v="S1"/>
  </r>
  <r>
    <s v="PC-2024-0208"/>
    <n v="17"/>
    <s v="Mesa Escritório"/>
    <n v="6"/>
    <x v="3"/>
    <x v="2"/>
    <s v="2024-06-21"/>
    <s v="2024-07-06"/>
    <s v="2024-07-06"/>
    <n v="25"/>
    <n v="1200"/>
    <n v="30000"/>
    <s v="Entregue"/>
    <x v="1"/>
    <n v="15"/>
    <x v="7"/>
    <x v="7"/>
    <x v="1"/>
    <s v="S1"/>
  </r>
  <r>
    <s v="PC-2024-0209"/>
    <n v="3"/>
    <s v="Teclado USB"/>
    <n v="1"/>
    <x v="1"/>
    <x v="1"/>
    <s v="2024-05-22"/>
    <s v="2024-05-29"/>
    <s v="2024-05-29"/>
    <n v="27"/>
    <n v="150"/>
    <n v="4050"/>
    <s v="Entregue"/>
    <x v="1"/>
    <n v="7"/>
    <x v="1"/>
    <x v="1"/>
    <x v="1"/>
    <s v="S1"/>
  </r>
  <r>
    <s v="PC-2024-0210"/>
    <n v="21"/>
    <s v="Projetor Epson"/>
    <n v="11"/>
    <x v="4"/>
    <x v="3"/>
    <s v="2024-05-09"/>
    <s v="2024-05-21"/>
    <s v="2024-05-21"/>
    <n v="31"/>
    <n v="2800"/>
    <n v="86800"/>
    <s v="Entregue"/>
    <x v="1"/>
    <n v="12"/>
    <x v="1"/>
    <x v="1"/>
    <x v="1"/>
    <s v="S1"/>
  </r>
  <r>
    <s v="PC-2024-0211"/>
    <n v="21"/>
    <s v="Projetor Epson"/>
    <n v="11"/>
    <x v="4"/>
    <x v="3"/>
    <s v="2024-01-10"/>
    <s v="2024-01-22"/>
    <s v="2024-01-22"/>
    <n v="4"/>
    <n v="2800"/>
    <n v="11200"/>
    <s v="Entregue"/>
    <x v="1"/>
    <n v="12"/>
    <x v="3"/>
    <x v="3"/>
    <x v="2"/>
    <s v="S1"/>
  </r>
  <r>
    <s v="PC-2024-0212"/>
    <n v="6"/>
    <s v="Resma de Papel A4"/>
    <n v="2"/>
    <x v="6"/>
    <x v="5"/>
    <s v="2024-06-28"/>
    <s v="2024-07-03"/>
    <s v="2024-07-03"/>
    <n v="5"/>
    <n v="25"/>
    <n v="125"/>
    <s v="Entregue"/>
    <x v="1"/>
    <n v="5"/>
    <x v="7"/>
    <x v="7"/>
    <x v="1"/>
    <s v="S1"/>
  </r>
  <r>
    <s v="PC-2024-0213"/>
    <n v="29"/>
    <s v="Marcador Quadro cx"/>
    <n v="3"/>
    <x v="9"/>
    <x v="5"/>
    <s v="2024-11-29"/>
    <s v="2024-12-04"/>
    <s v="2024-12-05"/>
    <n v="16"/>
    <n v="22"/>
    <n v="352"/>
    <s v="Entregue"/>
    <x v="4"/>
    <n v="6"/>
    <x v="0"/>
    <x v="0"/>
    <x v="0"/>
    <s v="S2"/>
  </r>
  <r>
    <s v="PC-2024-0214"/>
    <n v="26"/>
    <s v="Livro Didático"/>
    <n v="8"/>
    <x v="0"/>
    <x v="0"/>
    <s v="2024-04-12"/>
    <s v="2024-04-19"/>
    <s v="2024-04-19"/>
    <n v="40"/>
    <n v="85"/>
    <n v="3400"/>
    <s v="Entregue"/>
    <x v="1"/>
    <n v="7"/>
    <x v="4"/>
    <x v="4"/>
    <x v="1"/>
    <s v="S1"/>
  </r>
  <r>
    <s v="PC-2024-0215"/>
    <n v="2"/>
    <s v="Monitor 24&quot;"/>
    <n v="1"/>
    <x v="1"/>
    <x v="1"/>
    <s v="2024-03-19"/>
    <s v="2024-03-26"/>
    <s v="2024-03-26"/>
    <n v="31"/>
    <n v="1200"/>
    <n v="37200"/>
    <s v="Entregue"/>
    <x v="1"/>
    <n v="7"/>
    <x v="6"/>
    <x v="6"/>
    <x v="2"/>
    <s v="S1"/>
  </r>
  <r>
    <s v="PC-2024-0216"/>
    <n v="9"/>
    <s v="Grampeador"/>
    <n v="2"/>
    <x v="6"/>
    <x v="5"/>
    <s v="2024-12-08"/>
    <s v="2024-12-13"/>
    <s v="2024-12-15"/>
    <n v="30"/>
    <n v="35"/>
    <n v="1050"/>
    <s v="Entregue"/>
    <x v="2"/>
    <n v="7"/>
    <x v="5"/>
    <x v="5"/>
    <x v="0"/>
    <s v="S2"/>
  </r>
  <r>
    <s v="PC-2024-0217"/>
    <n v="27"/>
    <s v="Apostila impressa"/>
    <n v="8"/>
    <x v="0"/>
    <x v="0"/>
    <s v="2024-12-24"/>
    <s v="2024-12-31"/>
    <s v="2024-12-31"/>
    <n v="24"/>
    <n v="40"/>
    <n v="960"/>
    <s v="Entregue"/>
    <x v="1"/>
    <n v="7"/>
    <x v="5"/>
    <x v="5"/>
    <x v="0"/>
    <s v="S2"/>
  </r>
  <r>
    <s v="PC-2024-0218"/>
    <n v="7"/>
    <s v="Caneta Esferográfica cx"/>
    <n v="2"/>
    <x v="6"/>
    <x v="5"/>
    <s v="2024-03-26"/>
    <s v="2024-03-31"/>
    <s v="2024-03-31"/>
    <n v="48"/>
    <n v="18"/>
    <n v="864"/>
    <s v="Entregue"/>
    <x v="1"/>
    <n v="5"/>
    <x v="6"/>
    <x v="6"/>
    <x v="2"/>
    <s v="S1"/>
  </r>
  <r>
    <s v="PC-2024-0219"/>
    <n v="14"/>
    <s v="Sabonete Líquido 5L"/>
    <n v="4"/>
    <x v="5"/>
    <x v="4"/>
    <s v="2024-02-28"/>
    <s v="2024-03-02"/>
    <s v="2024-03-02"/>
    <n v="11"/>
    <n v="30"/>
    <n v="330"/>
    <s v="Entregue"/>
    <x v="1"/>
    <n v="3"/>
    <x v="2"/>
    <x v="2"/>
    <x v="2"/>
    <s v="S1"/>
  </r>
  <r>
    <s v="PC-2024-0220"/>
    <n v="27"/>
    <s v="Apostila impressa"/>
    <n v="8"/>
    <x v="0"/>
    <x v="0"/>
    <s v="2024-06-08"/>
    <s v="2024-06-15"/>
    <s v="2024-06-16"/>
    <n v="20"/>
    <n v="40"/>
    <n v="800"/>
    <s v="Entregue"/>
    <x v="4"/>
    <n v="8"/>
    <x v="7"/>
    <x v="7"/>
    <x v="1"/>
    <s v="S1"/>
  </r>
  <r>
    <s v="PC-2024-0221"/>
    <n v="2"/>
    <s v="Monitor 24&quot;"/>
    <n v="1"/>
    <x v="1"/>
    <x v="1"/>
    <s v="2024-10-21"/>
    <s v="2024-10-28"/>
    <s v="2024-10-28"/>
    <n v="25"/>
    <n v="1200"/>
    <n v="30000"/>
    <s v="Entregue"/>
    <x v="1"/>
    <n v="7"/>
    <x v="10"/>
    <x v="10"/>
    <x v="0"/>
    <s v="S2"/>
  </r>
  <r>
    <s v="PC-2024-0222"/>
    <n v="8"/>
    <s v="Pasta Arquivo"/>
    <n v="2"/>
    <x v="6"/>
    <x v="5"/>
    <s v="2024-07-22"/>
    <s v="2024-07-27"/>
    <s v="2024-07-27"/>
    <n v="13"/>
    <n v="12"/>
    <n v="156"/>
    <s v="Entregue"/>
    <x v="1"/>
    <n v="5"/>
    <x v="8"/>
    <x v="8"/>
    <x v="3"/>
    <s v="S2"/>
  </r>
  <r>
    <s v="PC-2024-0223"/>
    <n v="4"/>
    <s v="Mouse Sem Fio"/>
    <n v="1"/>
    <x v="1"/>
    <x v="1"/>
    <s v="2024-02-08"/>
    <s v="2024-02-15"/>
    <s v="2024-02-15"/>
    <n v="41"/>
    <n v="80"/>
    <n v="3280"/>
    <s v="Entregue"/>
    <x v="1"/>
    <n v="7"/>
    <x v="2"/>
    <x v="2"/>
    <x v="2"/>
    <s v="S1"/>
  </r>
  <r>
    <s v="PC-2024-0224"/>
    <n v="20"/>
    <s v="Quadro Branco"/>
    <n v="6"/>
    <x v="3"/>
    <x v="2"/>
    <s v="2024-05-04"/>
    <s v="2024-05-19"/>
    <s v="2024-05-26"/>
    <n v="20"/>
    <n v="180"/>
    <n v="3600"/>
    <s v="Entregue"/>
    <x v="9"/>
    <n v="22"/>
    <x v="1"/>
    <x v="1"/>
    <x v="1"/>
    <s v="S1"/>
  </r>
  <r>
    <s v="PC-2024-0225"/>
    <n v="12"/>
    <s v="Desinfetante 5L"/>
    <n v="4"/>
    <x v="5"/>
    <x v="4"/>
    <s v="2024-12-16"/>
    <s v="2024-12-19"/>
    <s v="2024-12-19"/>
    <n v="8"/>
    <n v="22"/>
    <n v="176"/>
    <s v="Entregue"/>
    <x v="1"/>
    <n v="3"/>
    <x v="5"/>
    <x v="5"/>
    <x v="0"/>
    <s v="S2"/>
  </r>
  <r>
    <s v="PC-2024-0226"/>
    <n v="20"/>
    <s v="Quadro Branco"/>
    <n v="6"/>
    <x v="3"/>
    <x v="2"/>
    <s v="2024-10-16"/>
    <s v="2024-10-31"/>
    <s v="2024-10-31"/>
    <n v="23"/>
    <n v="180"/>
    <n v="4140"/>
    <s v="Entregue"/>
    <x v="1"/>
    <n v="15"/>
    <x v="10"/>
    <x v="10"/>
    <x v="0"/>
    <s v="S2"/>
  </r>
  <r>
    <s v="PC-2024-0227"/>
    <n v="1"/>
    <s v="Notebook Dell"/>
    <n v="1"/>
    <x v="1"/>
    <x v="1"/>
    <s v="2024-09-29"/>
    <s v="2024-10-06"/>
    <s v="2024-10-06"/>
    <n v="24"/>
    <n v="3500"/>
    <n v="84000"/>
    <s v="Entregue"/>
    <x v="1"/>
    <n v="7"/>
    <x v="11"/>
    <x v="11"/>
    <x v="3"/>
    <s v="S2"/>
  </r>
  <r>
    <s v="PC-2024-0228"/>
    <n v="20"/>
    <s v="Quadro Branco"/>
    <n v="6"/>
    <x v="3"/>
    <x v="2"/>
    <s v="2024-02-05"/>
    <s v="2024-02-20"/>
    <s v="2024-02-20"/>
    <n v="22"/>
    <n v="180"/>
    <n v="3960"/>
    <s v="Entregue"/>
    <x v="1"/>
    <n v="15"/>
    <x v="2"/>
    <x v="2"/>
    <x v="2"/>
    <s v="S1"/>
  </r>
  <r>
    <s v="PC-2024-0229"/>
    <n v="10"/>
    <s v="Calculadora"/>
    <n v="2"/>
    <x v="6"/>
    <x v="5"/>
    <s v="2024-01-07"/>
    <s v="2024-01-12"/>
    <s v="2024-01-12"/>
    <n v="32"/>
    <n v="45"/>
    <n v="1440"/>
    <s v="Entregue"/>
    <x v="1"/>
    <n v="5"/>
    <x v="3"/>
    <x v="3"/>
    <x v="2"/>
    <s v="S1"/>
  </r>
  <r>
    <s v="PC-2024-0230"/>
    <n v="3"/>
    <s v="Teclado USB"/>
    <n v="1"/>
    <x v="1"/>
    <x v="1"/>
    <s v="2024-02-24"/>
    <s v="2024-03-02"/>
    <s v="2024-03-02"/>
    <n v="24"/>
    <n v="150"/>
    <n v="3600"/>
    <s v="Entregue"/>
    <x v="1"/>
    <n v="7"/>
    <x v="2"/>
    <x v="2"/>
    <x v="2"/>
    <s v="S1"/>
  </r>
  <r>
    <s v="PC-2024-0231"/>
    <n v="29"/>
    <s v="Marcador Quadro cx"/>
    <n v="3"/>
    <x v="9"/>
    <x v="5"/>
    <s v="2024-11-21"/>
    <s v="2024-11-26"/>
    <s v="2024-11-26"/>
    <n v="30"/>
    <n v="22"/>
    <n v="660"/>
    <s v="Entregue"/>
    <x v="1"/>
    <n v="5"/>
    <x v="0"/>
    <x v="0"/>
    <x v="0"/>
    <s v="S2"/>
  </r>
  <r>
    <s v="PC-2024-0232"/>
    <n v="13"/>
    <s v="Papel Higiênico fardo"/>
    <n v="4"/>
    <x v="5"/>
    <x v="4"/>
    <s v="2024-12-28"/>
    <s v="2024-12-31"/>
    <s v="2025-01-02"/>
    <n v="47"/>
    <n v="65"/>
    <n v="3055"/>
    <s v="Entregue"/>
    <x v="2"/>
    <n v="5"/>
    <x v="5"/>
    <x v="5"/>
    <x v="0"/>
    <s v="S2"/>
  </r>
  <r>
    <s v="PC-2024-0233"/>
    <n v="6"/>
    <s v="Resma de Papel A4"/>
    <n v="2"/>
    <x v="6"/>
    <x v="5"/>
    <s v="2024-09-24"/>
    <s v="2024-09-29"/>
    <s v="2024-09-29"/>
    <n v="18"/>
    <n v="25"/>
    <n v="450"/>
    <s v="Entregue"/>
    <x v="1"/>
    <n v="5"/>
    <x v="11"/>
    <x v="11"/>
    <x v="3"/>
    <s v="S2"/>
  </r>
  <r>
    <s v="PC-2024-0234"/>
    <n v="18"/>
    <s v="Armário Aço"/>
    <n v="6"/>
    <x v="3"/>
    <x v="2"/>
    <s v="2024-11-11"/>
    <s v="2024-11-26"/>
    <s v="2024-11-26"/>
    <n v="35"/>
    <n v="900"/>
    <n v="31500"/>
    <s v="Entregue"/>
    <x v="1"/>
    <n v="15"/>
    <x v="0"/>
    <x v="0"/>
    <x v="0"/>
    <s v="S2"/>
  </r>
  <r>
    <s v="PC-2024-0235"/>
    <n v="1"/>
    <s v="Notebook Dell"/>
    <n v="1"/>
    <x v="1"/>
    <x v="1"/>
    <s v="2024-09-04"/>
    <s v="2024-09-11"/>
    <s v="2024-09-11"/>
    <n v="47"/>
    <n v="3500"/>
    <n v="164500"/>
    <s v="Entregue"/>
    <x v="1"/>
    <n v="7"/>
    <x v="11"/>
    <x v="11"/>
    <x v="3"/>
    <s v="S2"/>
  </r>
  <r>
    <s v="PC-2024-0236"/>
    <n v="11"/>
    <s v="Detergente 5L"/>
    <n v="4"/>
    <x v="5"/>
    <x v="4"/>
    <s v="2024-10-30"/>
    <s v="2024-11-02"/>
    <s v="2024-11-02"/>
    <n v="16"/>
    <n v="18"/>
    <n v="288"/>
    <s v="Entregue"/>
    <x v="1"/>
    <n v="3"/>
    <x v="10"/>
    <x v="10"/>
    <x v="0"/>
    <s v="S2"/>
  </r>
  <r>
    <s v="PC-2024-0237"/>
    <n v="1"/>
    <s v="Notebook Dell"/>
    <n v="1"/>
    <x v="1"/>
    <x v="1"/>
    <s v="2024-02-14"/>
    <s v="2024-02-21"/>
    <s v="2024-02-21"/>
    <n v="29"/>
    <n v="3500"/>
    <n v="101500"/>
    <s v="Entregue"/>
    <x v="1"/>
    <n v="7"/>
    <x v="2"/>
    <x v="2"/>
    <x v="2"/>
    <s v="S1"/>
  </r>
  <r>
    <s v="PC-2024-0238"/>
    <n v="10"/>
    <s v="Calculadora"/>
    <n v="2"/>
    <x v="6"/>
    <x v="5"/>
    <s v="2024-05-04"/>
    <s v="2024-05-09"/>
    <s v="2024-05-09"/>
    <n v="37"/>
    <n v="45"/>
    <n v="1665"/>
    <s v="Entregue"/>
    <x v="1"/>
    <n v="5"/>
    <x v="1"/>
    <x v="1"/>
    <x v="1"/>
    <s v="S1"/>
  </r>
  <r>
    <s v="PC-2024-0239"/>
    <n v="26"/>
    <s v="Livro Didático"/>
    <n v="8"/>
    <x v="0"/>
    <x v="0"/>
    <s v="2024-11-08"/>
    <s v="2024-11-15"/>
    <s v="2024-11-15"/>
    <n v="22"/>
    <n v="85"/>
    <n v="1870"/>
    <s v="Entregue"/>
    <x v="1"/>
    <n v="7"/>
    <x v="0"/>
    <x v="0"/>
    <x v="0"/>
    <s v="S2"/>
  </r>
  <r>
    <s v="PC-2024-0240"/>
    <n v="16"/>
    <s v="Cadeira Ergonômica"/>
    <n v="6"/>
    <x v="3"/>
    <x v="2"/>
    <s v="2024-01-15"/>
    <s v="2024-01-30"/>
    <s v="2024-01-30"/>
    <n v="21"/>
    <n v="850"/>
    <n v="17850"/>
    <s v="Entregue"/>
    <x v="1"/>
    <n v="15"/>
    <x v="3"/>
    <x v="3"/>
    <x v="2"/>
    <s v="S1"/>
  </r>
  <r>
    <s v="PC-2024-0241"/>
    <n v="8"/>
    <s v="Pasta Arquivo"/>
    <n v="2"/>
    <x v="6"/>
    <x v="5"/>
    <s v="2024-04-03"/>
    <s v="2024-04-08"/>
    <s v="2024-04-08"/>
    <n v="23"/>
    <n v="12"/>
    <n v="276"/>
    <s v="Entregue"/>
    <x v="1"/>
    <n v="5"/>
    <x v="4"/>
    <x v="4"/>
    <x v="1"/>
    <s v="S1"/>
  </r>
  <r>
    <s v="PC-2024-0242"/>
    <n v="3"/>
    <s v="Teclado USB"/>
    <n v="1"/>
    <x v="1"/>
    <x v="1"/>
    <s v="2024-05-12"/>
    <s v="2024-05-19"/>
    <s v="2024-05-19"/>
    <n v="39"/>
    <n v="150"/>
    <n v="5850"/>
    <s v="Entregue"/>
    <x v="1"/>
    <n v="7"/>
    <x v="1"/>
    <x v="1"/>
    <x v="1"/>
    <s v="S1"/>
  </r>
  <r>
    <s v="PC-2024-0243"/>
    <n v="25"/>
    <s v="Roteador WiFi"/>
    <n v="10"/>
    <x v="7"/>
    <x v="1"/>
    <s v="2024-12-25"/>
    <s v="2025-01-04"/>
    <s v="2025-01-04"/>
    <n v="36"/>
    <n v="420"/>
    <n v="15120"/>
    <s v="Entregue"/>
    <x v="1"/>
    <n v="10"/>
    <x v="5"/>
    <x v="5"/>
    <x v="0"/>
    <s v="S2"/>
  </r>
  <r>
    <s v="PC-2024-0244"/>
    <n v="20"/>
    <s v="Quadro Branco"/>
    <n v="6"/>
    <x v="3"/>
    <x v="2"/>
    <s v="2024-01-06"/>
    <s v="2024-01-21"/>
    <s v="2024-01-21"/>
    <n v="13"/>
    <n v="180"/>
    <n v="2340"/>
    <s v="Entregue"/>
    <x v="1"/>
    <n v="15"/>
    <x v="3"/>
    <x v="3"/>
    <x v="2"/>
    <s v="S1"/>
  </r>
  <r>
    <s v="PC-2024-0245"/>
    <n v="13"/>
    <s v="Papel Higiênico fardo"/>
    <n v="4"/>
    <x v="5"/>
    <x v="4"/>
    <s v="2024-02-13"/>
    <s v="2024-02-16"/>
    <s v="2024-02-16"/>
    <n v="27"/>
    <n v="65"/>
    <n v="1755"/>
    <s v="Entregue"/>
    <x v="1"/>
    <n v="3"/>
    <x v="2"/>
    <x v="2"/>
    <x v="2"/>
    <s v="S1"/>
  </r>
  <r>
    <s v="PC-2024-0246"/>
    <n v="17"/>
    <s v="Mesa Escritório"/>
    <n v="6"/>
    <x v="3"/>
    <x v="2"/>
    <s v="2024-09-07"/>
    <s v="2024-09-22"/>
    <s v="2024-09-22"/>
    <n v="16"/>
    <n v="1200"/>
    <n v="19200"/>
    <s v="Entregue"/>
    <x v="1"/>
    <n v="15"/>
    <x v="11"/>
    <x v="11"/>
    <x v="3"/>
    <s v="S2"/>
  </r>
  <r>
    <s v="PC-2024-0247"/>
    <n v="3"/>
    <s v="Teclado USB"/>
    <n v="1"/>
    <x v="1"/>
    <x v="1"/>
    <s v="2024-12-19"/>
    <s v="2024-12-26"/>
    <s v="2024-12-26"/>
    <n v="46"/>
    <n v="150"/>
    <n v="6900"/>
    <s v="Entregue"/>
    <x v="1"/>
    <n v="7"/>
    <x v="5"/>
    <x v="5"/>
    <x v="0"/>
    <s v="S2"/>
  </r>
  <r>
    <s v="PC-2024-0248"/>
    <n v="30"/>
    <s v="Apagador"/>
    <n v="3"/>
    <x v="9"/>
    <x v="5"/>
    <s v="2024-09-08"/>
    <s v="2024-09-13"/>
    <s v="2024-09-13"/>
    <n v="2"/>
    <n v="18"/>
    <n v="36"/>
    <s v="Entregue"/>
    <x v="1"/>
    <n v="5"/>
    <x v="11"/>
    <x v="11"/>
    <x v="3"/>
    <s v="S2"/>
  </r>
  <r>
    <s v="PC-2024-0249"/>
    <n v="22"/>
    <s v="Caixa de Som"/>
    <n v="11"/>
    <x v="4"/>
    <x v="3"/>
    <s v="2024-02-17"/>
    <s v="2024-02-29"/>
    <s v="2024-02-29"/>
    <n v="26"/>
    <n v="350"/>
    <n v="9100"/>
    <s v="Entregue"/>
    <x v="1"/>
    <n v="12"/>
    <x v="2"/>
    <x v="2"/>
    <x v="2"/>
    <s v="S1"/>
  </r>
  <r>
    <s v="PC-2024-0250"/>
    <n v="26"/>
    <s v="Livro Didático"/>
    <n v="8"/>
    <x v="0"/>
    <x v="0"/>
    <s v="2024-12-20"/>
    <s v="2024-12-27"/>
    <s v="2024-12-27"/>
    <n v="43"/>
    <n v="85"/>
    <n v="3655"/>
    <s v="Entregue"/>
    <x v="1"/>
    <n v="7"/>
    <x v="5"/>
    <x v="5"/>
    <x v="0"/>
    <s v="S2"/>
  </r>
  <r>
    <s v="PC-2024-0251"/>
    <n v="3"/>
    <s v="Teclado USB"/>
    <n v="1"/>
    <x v="1"/>
    <x v="1"/>
    <s v="2024-10-24"/>
    <s v="2024-10-31"/>
    <s v="2024-10-31"/>
    <n v="36"/>
    <n v="150"/>
    <n v="5400"/>
    <s v="Entregue"/>
    <x v="1"/>
    <n v="7"/>
    <x v="10"/>
    <x v="10"/>
    <x v="0"/>
    <s v="S2"/>
  </r>
  <r>
    <s v="PC-2024-0252"/>
    <n v="22"/>
    <s v="Caixa de Som"/>
    <n v="11"/>
    <x v="4"/>
    <x v="3"/>
    <s v="2024-09-28"/>
    <s v="2024-10-10"/>
    <s v="2024-10-10"/>
    <n v="48"/>
    <n v="350"/>
    <n v="16800"/>
    <s v="Entregue"/>
    <x v="1"/>
    <n v="12"/>
    <x v="11"/>
    <x v="11"/>
    <x v="3"/>
    <s v="S2"/>
  </r>
  <r>
    <s v="PC-2024-0253"/>
    <n v="30"/>
    <s v="Apagador"/>
    <n v="3"/>
    <x v="9"/>
    <x v="5"/>
    <s v="2024-10-08"/>
    <s v="2024-10-13"/>
    <s v="2024-10-13"/>
    <n v="45"/>
    <n v="18"/>
    <n v="810"/>
    <s v="Entregue"/>
    <x v="1"/>
    <n v="5"/>
    <x v="10"/>
    <x v="10"/>
    <x v="0"/>
    <s v="S2"/>
  </r>
  <r>
    <s v="PC-2024-0254"/>
    <n v="13"/>
    <s v="Papel Higiênico fardo"/>
    <n v="4"/>
    <x v="5"/>
    <x v="4"/>
    <s v="2024-08-20"/>
    <s v="2024-08-23"/>
    <s v="2024-08-23"/>
    <n v="17"/>
    <n v="65"/>
    <n v="1105"/>
    <s v="Entregue"/>
    <x v="1"/>
    <n v="3"/>
    <x v="9"/>
    <x v="9"/>
    <x v="3"/>
    <s v="S2"/>
  </r>
  <r>
    <s v="PC-2024-0255"/>
    <n v="6"/>
    <s v="Resma de Papel A4"/>
    <n v="2"/>
    <x v="6"/>
    <x v="5"/>
    <s v="2024-04-28"/>
    <s v="2024-05-03"/>
    <s v="2024-05-05"/>
    <n v="21"/>
    <n v="25"/>
    <n v="525"/>
    <s v="Entregue"/>
    <x v="2"/>
    <n v="7"/>
    <x v="4"/>
    <x v="4"/>
    <x v="1"/>
    <s v="S1"/>
  </r>
  <r>
    <s v="PC-2024-0256"/>
    <n v="1"/>
    <s v="Notebook Dell"/>
    <n v="1"/>
    <x v="1"/>
    <x v="1"/>
    <s v="2024-03-02"/>
    <s v="2024-03-09"/>
    <s v="2024-03-09"/>
    <n v="49"/>
    <n v="3500"/>
    <n v="171500"/>
    <s v="Entregue"/>
    <x v="1"/>
    <n v="7"/>
    <x v="6"/>
    <x v="6"/>
    <x v="2"/>
    <s v="S1"/>
  </r>
  <r>
    <s v="PC-2024-0257"/>
    <n v="27"/>
    <s v="Apostila impressa"/>
    <n v="8"/>
    <x v="0"/>
    <x v="0"/>
    <s v="2024-12-19"/>
    <s v="2024-12-26"/>
    <s v="2024-12-28"/>
    <n v="48"/>
    <n v="40"/>
    <n v="1920"/>
    <s v="Entregue"/>
    <x v="2"/>
    <n v="9"/>
    <x v="5"/>
    <x v="5"/>
    <x v="0"/>
    <s v="S2"/>
  </r>
  <r>
    <s v="PC-2024-0258"/>
    <n v="21"/>
    <s v="Projetor Epson"/>
    <n v="11"/>
    <x v="4"/>
    <x v="3"/>
    <s v="2024-09-04"/>
    <s v="2024-09-16"/>
    <s v="2024-09-16"/>
    <n v="38"/>
    <n v="2800"/>
    <n v="106400"/>
    <s v="Entregue"/>
    <x v="1"/>
    <n v="12"/>
    <x v="11"/>
    <x v="11"/>
    <x v="3"/>
    <s v="S2"/>
  </r>
  <r>
    <s v="PC-2024-0259"/>
    <n v="3"/>
    <s v="Teclado USB"/>
    <n v="1"/>
    <x v="1"/>
    <x v="1"/>
    <s v="2024-09-25"/>
    <s v="2024-10-02"/>
    <s v="2024-10-02"/>
    <n v="7"/>
    <n v="150"/>
    <n v="1050"/>
    <s v="Entregue"/>
    <x v="1"/>
    <n v="7"/>
    <x v="11"/>
    <x v="11"/>
    <x v="3"/>
    <s v="S2"/>
  </r>
  <r>
    <s v="PC-2024-0260"/>
    <n v="5"/>
    <s v="Webcam HD"/>
    <n v="5"/>
    <x v="2"/>
    <x v="1"/>
    <s v="2024-04-09"/>
    <s v="2024-04-19"/>
    <s v="2024-04-19"/>
    <n v="24"/>
    <n v="250"/>
    <n v="6000"/>
    <s v="Entregue"/>
    <x v="1"/>
    <n v="10"/>
    <x v="4"/>
    <x v="4"/>
    <x v="1"/>
    <s v="S1"/>
  </r>
  <r>
    <s v="PC-2024-0261"/>
    <n v="8"/>
    <s v="Pasta Arquivo"/>
    <n v="2"/>
    <x v="6"/>
    <x v="5"/>
    <s v="2024-04-01"/>
    <s v="2024-04-06"/>
    <s v="2024-04-06"/>
    <n v="46"/>
    <n v="12"/>
    <n v="552"/>
    <s v="Entregue"/>
    <x v="1"/>
    <n v="5"/>
    <x v="4"/>
    <x v="4"/>
    <x v="1"/>
    <s v="S1"/>
  </r>
  <r>
    <s v="PC-2024-0262"/>
    <n v="25"/>
    <s v="Roteador WiFi"/>
    <n v="10"/>
    <x v="7"/>
    <x v="1"/>
    <s v="2024-09-30"/>
    <s v="2024-10-10"/>
    <s v="2024-10-11"/>
    <n v="4"/>
    <n v="420"/>
    <n v="1680"/>
    <s v="Entregue"/>
    <x v="4"/>
    <n v="11"/>
    <x v="11"/>
    <x v="11"/>
    <x v="3"/>
    <s v="S2"/>
  </r>
  <r>
    <s v="PC-2024-0263"/>
    <n v="27"/>
    <s v="Apostila impressa"/>
    <n v="8"/>
    <x v="0"/>
    <x v="0"/>
    <s v="2024-10-10"/>
    <s v="2024-10-17"/>
    <s v="2024-10-17"/>
    <n v="9"/>
    <n v="40"/>
    <n v="360"/>
    <s v="Entregue"/>
    <x v="1"/>
    <n v="7"/>
    <x v="10"/>
    <x v="10"/>
    <x v="0"/>
    <s v="S2"/>
  </r>
  <r>
    <s v="PC-2024-0264"/>
    <n v="19"/>
    <s v="Estante"/>
    <n v="6"/>
    <x v="3"/>
    <x v="2"/>
    <s v="2024-11-22"/>
    <s v="2024-12-07"/>
    <s v="2024-12-07"/>
    <n v="32"/>
    <n v="450"/>
    <n v="14400"/>
    <s v="Entregue"/>
    <x v="1"/>
    <n v="15"/>
    <x v="0"/>
    <x v="0"/>
    <x v="0"/>
    <s v="S2"/>
  </r>
  <r>
    <s v="PC-2024-0265"/>
    <n v="3"/>
    <s v="Teclado USB"/>
    <n v="1"/>
    <x v="1"/>
    <x v="1"/>
    <s v="2024-02-22"/>
    <s v="2024-02-29"/>
    <s v="2024-02-29"/>
    <n v="37"/>
    <n v="150"/>
    <n v="5550"/>
    <s v="Entregue"/>
    <x v="1"/>
    <n v="7"/>
    <x v="2"/>
    <x v="2"/>
    <x v="2"/>
    <s v="S1"/>
  </r>
  <r>
    <s v="PC-2024-0266"/>
    <n v="21"/>
    <s v="Projetor Epson"/>
    <n v="11"/>
    <x v="4"/>
    <x v="3"/>
    <s v="2024-05-25"/>
    <s v="2024-06-06"/>
    <s v="2024-06-06"/>
    <n v="29"/>
    <n v="2800"/>
    <n v="81200"/>
    <s v="Entregue"/>
    <x v="1"/>
    <n v="12"/>
    <x v="1"/>
    <x v="1"/>
    <x v="1"/>
    <s v="S1"/>
  </r>
  <r>
    <s v="PC-2024-0267"/>
    <n v="20"/>
    <s v="Quadro Branco"/>
    <n v="6"/>
    <x v="3"/>
    <x v="2"/>
    <s v="2024-06-23"/>
    <s v="2024-07-08"/>
    <s v="2024-07-09"/>
    <n v="17"/>
    <n v="180"/>
    <n v="3060"/>
    <s v="Entregue"/>
    <x v="4"/>
    <n v="16"/>
    <x v="7"/>
    <x v="7"/>
    <x v="1"/>
    <s v="S1"/>
  </r>
  <r>
    <s v="PC-2024-0268"/>
    <n v="28"/>
    <s v="Kit Educativo"/>
    <n v="8"/>
    <x v="0"/>
    <x v="0"/>
    <s v="2024-09-01"/>
    <s v="2024-09-08"/>
    <s v="2024-09-09"/>
    <n v="26"/>
    <n v="120"/>
    <n v="3120"/>
    <s v="Entregue"/>
    <x v="4"/>
    <n v="8"/>
    <x v="11"/>
    <x v="11"/>
    <x v="3"/>
    <s v="S2"/>
  </r>
  <r>
    <s v="PC-2024-0269"/>
    <n v="27"/>
    <s v="Apostila impressa"/>
    <n v="8"/>
    <x v="0"/>
    <x v="0"/>
    <s v="2024-09-08"/>
    <s v="2024-09-15"/>
    <s v="2024-09-21"/>
    <n v="44"/>
    <n v="40"/>
    <n v="1760"/>
    <s v="Entregue"/>
    <x v="0"/>
    <n v="13"/>
    <x v="11"/>
    <x v="11"/>
    <x v="3"/>
    <s v="S2"/>
  </r>
  <r>
    <s v="PC-2024-0270"/>
    <n v="8"/>
    <s v="Pasta Arquivo"/>
    <n v="2"/>
    <x v="6"/>
    <x v="5"/>
    <s v="2024-01-28"/>
    <s v="2024-02-02"/>
    <s v="2024-02-09"/>
    <n v="37"/>
    <n v="12"/>
    <n v="444"/>
    <s v="Entregue"/>
    <x v="9"/>
    <n v="12"/>
    <x v="3"/>
    <x v="3"/>
    <x v="2"/>
    <s v="S1"/>
  </r>
  <r>
    <s v="PC-2024-0271"/>
    <n v="1"/>
    <s v="Notebook Dell"/>
    <n v="1"/>
    <x v="1"/>
    <x v="1"/>
    <s v="2024-06-04"/>
    <s v="2024-06-11"/>
    <s v="2024-06-13"/>
    <n v="8"/>
    <n v="3500"/>
    <n v="28000"/>
    <s v="Entregue"/>
    <x v="2"/>
    <n v="9"/>
    <x v="7"/>
    <x v="7"/>
    <x v="1"/>
    <s v="S1"/>
  </r>
  <r>
    <s v="PC-2024-0272"/>
    <n v="15"/>
    <s v="Álcool Gel 5L"/>
    <n v="14"/>
    <x v="8"/>
    <x v="4"/>
    <s v="2024-10-12"/>
    <s v="2024-10-15"/>
    <s v="2024-10-28"/>
    <n v="39"/>
    <n v="15"/>
    <n v="585"/>
    <s v="Entregue"/>
    <x v="10"/>
    <n v="16"/>
    <x v="10"/>
    <x v="10"/>
    <x v="0"/>
    <s v="S2"/>
  </r>
  <r>
    <s v="PC-2024-0273"/>
    <n v="29"/>
    <s v="Marcador Quadro cx"/>
    <n v="3"/>
    <x v="9"/>
    <x v="5"/>
    <s v="2024-11-01"/>
    <s v="2024-11-06"/>
    <s v="2024-11-06"/>
    <n v="15"/>
    <n v="22"/>
    <n v="330"/>
    <s v="Entregue"/>
    <x v="1"/>
    <n v="5"/>
    <x v="0"/>
    <x v="0"/>
    <x v="0"/>
    <s v="S2"/>
  </r>
  <r>
    <s v="PC-2024-0274"/>
    <n v="18"/>
    <s v="Armário Aço"/>
    <n v="6"/>
    <x v="3"/>
    <x v="2"/>
    <s v="2024-09-24"/>
    <s v="2024-10-09"/>
    <s v="2024-10-09"/>
    <n v="29"/>
    <n v="900"/>
    <n v="26100"/>
    <s v="Entregue"/>
    <x v="1"/>
    <n v="15"/>
    <x v="11"/>
    <x v="11"/>
    <x v="3"/>
    <s v="S2"/>
  </r>
  <r>
    <s v="PC-2024-0275"/>
    <n v="12"/>
    <s v="Desinfetante 5L"/>
    <n v="4"/>
    <x v="5"/>
    <x v="4"/>
    <s v="2024-06-01"/>
    <s v="2024-06-04"/>
    <s v="2024-06-04"/>
    <n v="28"/>
    <n v="22"/>
    <n v="616"/>
    <s v="Entregue"/>
    <x v="1"/>
    <n v="3"/>
    <x v="7"/>
    <x v="7"/>
    <x v="1"/>
    <s v="S1"/>
  </r>
  <r>
    <s v="PC-2024-0276"/>
    <n v="29"/>
    <s v="Marcador Quadro cx"/>
    <n v="3"/>
    <x v="9"/>
    <x v="5"/>
    <s v="2024-06-05"/>
    <s v="2024-06-10"/>
    <s v="2024-06-10"/>
    <n v="4"/>
    <n v="22"/>
    <n v="88"/>
    <s v="Entregue"/>
    <x v="1"/>
    <n v="5"/>
    <x v="7"/>
    <x v="7"/>
    <x v="1"/>
    <s v="S1"/>
  </r>
  <r>
    <s v="PC-2024-0277"/>
    <n v="5"/>
    <s v="Webcam HD"/>
    <n v="5"/>
    <x v="2"/>
    <x v="1"/>
    <s v="2024-11-08"/>
    <s v="2024-11-18"/>
    <s v="2024-11-18"/>
    <n v="7"/>
    <n v="250"/>
    <n v="1750"/>
    <s v="Entregue"/>
    <x v="1"/>
    <n v="10"/>
    <x v="0"/>
    <x v="0"/>
    <x v="0"/>
    <s v="S2"/>
  </r>
  <r>
    <s v="PC-2024-0278"/>
    <n v="22"/>
    <s v="Caixa de Som"/>
    <n v="11"/>
    <x v="4"/>
    <x v="3"/>
    <s v="2024-04-16"/>
    <s v="2024-04-28"/>
    <s v="2024-04-28"/>
    <n v="17"/>
    <n v="350"/>
    <n v="5950"/>
    <s v="Entregue"/>
    <x v="1"/>
    <n v="12"/>
    <x v="4"/>
    <x v="4"/>
    <x v="1"/>
    <s v="S1"/>
  </r>
  <r>
    <s v="PC-2024-0279"/>
    <n v="23"/>
    <s v="Cabo HDMI"/>
    <n v="10"/>
    <x v="7"/>
    <x v="1"/>
    <s v="2024-12-04"/>
    <s v="2024-12-14"/>
    <s v="2024-12-16"/>
    <n v="12"/>
    <n v="25"/>
    <n v="300"/>
    <s v="Entregue"/>
    <x v="2"/>
    <n v="12"/>
    <x v="5"/>
    <x v="5"/>
    <x v="0"/>
    <s v="S2"/>
  </r>
  <r>
    <s v="PC-2024-0280"/>
    <n v="23"/>
    <s v="Cabo HDMI"/>
    <n v="10"/>
    <x v="7"/>
    <x v="1"/>
    <s v="2024-10-09"/>
    <s v="2024-10-19"/>
    <s v="2024-10-20"/>
    <n v="27"/>
    <n v="25"/>
    <n v="675"/>
    <s v="Entregue"/>
    <x v="4"/>
    <n v="11"/>
    <x v="10"/>
    <x v="10"/>
    <x v="0"/>
    <s v="S2"/>
  </r>
  <r>
    <s v="PC-2024-0281"/>
    <n v="18"/>
    <s v="Armário Aço"/>
    <n v="6"/>
    <x v="3"/>
    <x v="2"/>
    <s v="2024-08-18"/>
    <s v="2024-09-02"/>
    <s v="2024-09-02"/>
    <n v="31"/>
    <n v="900"/>
    <n v="27900"/>
    <s v="Entregue"/>
    <x v="1"/>
    <n v="15"/>
    <x v="9"/>
    <x v="9"/>
    <x v="3"/>
    <s v="S2"/>
  </r>
  <r>
    <s v="PC-2024-0282"/>
    <n v="4"/>
    <s v="Mouse Sem Fio"/>
    <n v="1"/>
    <x v="1"/>
    <x v="1"/>
    <s v="2024-05-29"/>
    <s v="2024-06-05"/>
    <s v="2024-06-08"/>
    <n v="46"/>
    <n v="80"/>
    <n v="3680"/>
    <s v="Entregue"/>
    <x v="5"/>
    <n v="10"/>
    <x v="1"/>
    <x v="1"/>
    <x v="1"/>
    <s v="S1"/>
  </r>
  <r>
    <s v="PC-2024-0283"/>
    <n v="28"/>
    <s v="Kit Educativo"/>
    <n v="8"/>
    <x v="0"/>
    <x v="0"/>
    <s v="2024-05-24"/>
    <s v="2024-05-31"/>
    <s v="2024-05-31"/>
    <n v="30"/>
    <n v="120"/>
    <n v="3600"/>
    <s v="Entregue"/>
    <x v="1"/>
    <n v="7"/>
    <x v="1"/>
    <x v="1"/>
    <x v="1"/>
    <s v="S1"/>
  </r>
  <r>
    <s v="PC-2024-0284"/>
    <n v="4"/>
    <s v="Mouse Sem Fio"/>
    <n v="1"/>
    <x v="1"/>
    <x v="1"/>
    <s v="2024-02-06"/>
    <s v="2024-02-13"/>
    <s v="2024-02-13"/>
    <n v="17"/>
    <n v="80"/>
    <n v="1360"/>
    <s v="Entregue"/>
    <x v="1"/>
    <n v="7"/>
    <x v="2"/>
    <x v="2"/>
    <x v="2"/>
    <s v="S1"/>
  </r>
  <r>
    <s v="PC-2024-0285"/>
    <n v="10"/>
    <s v="Calculadora"/>
    <n v="2"/>
    <x v="6"/>
    <x v="5"/>
    <s v="2024-11-16"/>
    <s v="2024-11-21"/>
    <s v="2024-11-21"/>
    <n v="13"/>
    <n v="45"/>
    <n v="585"/>
    <s v="Entregue"/>
    <x v="1"/>
    <n v="5"/>
    <x v="0"/>
    <x v="0"/>
    <x v="0"/>
    <s v="S2"/>
  </r>
  <r>
    <s v="PC-2024-0286"/>
    <n v="13"/>
    <s v="Papel Higiênico fardo"/>
    <n v="4"/>
    <x v="5"/>
    <x v="4"/>
    <s v="2024-08-05"/>
    <s v="2024-08-08"/>
    <s v="2024-08-10"/>
    <n v="42"/>
    <n v="65"/>
    <n v="2730"/>
    <s v="Entregue"/>
    <x v="2"/>
    <n v="5"/>
    <x v="9"/>
    <x v="9"/>
    <x v="3"/>
    <s v="S2"/>
  </r>
  <r>
    <s v="PC-2024-0287"/>
    <n v="9"/>
    <s v="Grampeador"/>
    <n v="2"/>
    <x v="6"/>
    <x v="5"/>
    <s v="2024-03-17"/>
    <s v="2024-03-22"/>
    <s v="2024-03-22"/>
    <n v="10"/>
    <n v="35"/>
    <n v="350"/>
    <s v="Entregue"/>
    <x v="1"/>
    <n v="5"/>
    <x v="6"/>
    <x v="6"/>
    <x v="2"/>
    <s v="S1"/>
  </r>
  <r>
    <s v="PC-2024-0288"/>
    <n v="2"/>
    <s v="Monitor 24&quot;"/>
    <n v="1"/>
    <x v="1"/>
    <x v="1"/>
    <s v="2024-02-06"/>
    <s v="2024-02-13"/>
    <s v="2024-02-20"/>
    <n v="20"/>
    <n v="1200"/>
    <n v="24000"/>
    <s v="Entregue"/>
    <x v="9"/>
    <n v="14"/>
    <x v="2"/>
    <x v="2"/>
    <x v="2"/>
    <s v="S1"/>
  </r>
  <r>
    <s v="PC-2024-0289"/>
    <n v="29"/>
    <s v="Marcador Quadro cx"/>
    <n v="3"/>
    <x v="9"/>
    <x v="5"/>
    <s v="2024-10-31"/>
    <s v="2024-11-05"/>
    <s v="2024-11-05"/>
    <n v="37"/>
    <n v="22"/>
    <n v="814"/>
    <s v="Entregue"/>
    <x v="1"/>
    <n v="5"/>
    <x v="10"/>
    <x v="10"/>
    <x v="0"/>
    <s v="S2"/>
  </r>
  <r>
    <s v="PC-2024-0290"/>
    <n v="24"/>
    <s v="Switch 8 portas"/>
    <n v="10"/>
    <x v="7"/>
    <x v="1"/>
    <s v="2024-05-27"/>
    <s v="2024-06-06"/>
    <s v="2024-06-06"/>
    <n v="30"/>
    <n v="380"/>
    <n v="11400"/>
    <s v="Entregue"/>
    <x v="1"/>
    <n v="10"/>
    <x v="1"/>
    <x v="1"/>
    <x v="1"/>
    <s v="S1"/>
  </r>
  <r>
    <s v="PC-2024-0291"/>
    <n v="27"/>
    <s v="Apostila impressa"/>
    <n v="8"/>
    <x v="0"/>
    <x v="0"/>
    <s v="2024-12-18"/>
    <s v="2024-12-25"/>
    <s v="2024-12-25"/>
    <n v="26"/>
    <n v="40"/>
    <n v="1040"/>
    <s v="Entregue"/>
    <x v="1"/>
    <n v="7"/>
    <x v="5"/>
    <x v="5"/>
    <x v="0"/>
    <s v="S2"/>
  </r>
  <r>
    <s v="PC-2024-0292"/>
    <n v="15"/>
    <s v="Álcool Gel 5L"/>
    <n v="14"/>
    <x v="8"/>
    <x v="4"/>
    <s v="2024-05-19"/>
    <s v="2024-05-22"/>
    <s v="2024-06-07"/>
    <n v="35"/>
    <n v="15"/>
    <n v="525"/>
    <s v="Entregue"/>
    <x v="11"/>
    <n v="19"/>
    <x v="1"/>
    <x v="1"/>
    <x v="1"/>
    <s v="S1"/>
  </r>
  <r>
    <s v="PC-2024-0293"/>
    <n v="12"/>
    <s v="Desinfetante 5L"/>
    <n v="4"/>
    <x v="5"/>
    <x v="4"/>
    <s v="2024-09-09"/>
    <s v="2024-09-12"/>
    <s v="2024-09-12"/>
    <n v="39"/>
    <n v="22"/>
    <n v="858"/>
    <s v="Entregue"/>
    <x v="1"/>
    <n v="3"/>
    <x v="11"/>
    <x v="11"/>
    <x v="3"/>
    <s v="S2"/>
  </r>
  <r>
    <s v="PC-2024-0294"/>
    <n v="6"/>
    <s v="Resma de Papel A4"/>
    <n v="2"/>
    <x v="6"/>
    <x v="5"/>
    <s v="2024-01-21"/>
    <s v="2024-01-26"/>
    <s v="2024-01-26"/>
    <n v="48"/>
    <n v="25"/>
    <n v="1200"/>
    <s v="Entregue"/>
    <x v="1"/>
    <n v="5"/>
    <x v="3"/>
    <x v="3"/>
    <x v="2"/>
    <s v="S1"/>
  </r>
  <r>
    <s v="PC-2024-0295"/>
    <n v="10"/>
    <s v="Calculadora"/>
    <n v="2"/>
    <x v="6"/>
    <x v="5"/>
    <s v="2024-06-14"/>
    <s v="2024-06-19"/>
    <s v="2024-06-19"/>
    <n v="2"/>
    <n v="45"/>
    <n v="90"/>
    <s v="Entregue"/>
    <x v="1"/>
    <n v="5"/>
    <x v="7"/>
    <x v="7"/>
    <x v="1"/>
    <s v="S1"/>
  </r>
  <r>
    <s v="PC-2024-0296"/>
    <n v="15"/>
    <s v="Álcool Gel 5L"/>
    <n v="14"/>
    <x v="8"/>
    <x v="4"/>
    <s v="2024-02-16"/>
    <s v="2024-02-19"/>
    <s v="2024-02-26"/>
    <n v="44"/>
    <n v="15"/>
    <n v="660"/>
    <s v="Entregue"/>
    <x v="9"/>
    <n v="10"/>
    <x v="2"/>
    <x v="2"/>
    <x v="2"/>
    <s v="S1"/>
  </r>
  <r>
    <s v="PC-2024-0297"/>
    <n v="22"/>
    <s v="Caixa de Som"/>
    <n v="11"/>
    <x v="4"/>
    <x v="3"/>
    <s v="2024-10-21"/>
    <s v="2024-11-02"/>
    <s v="2024-11-02"/>
    <n v="2"/>
    <n v="350"/>
    <n v="700"/>
    <s v="Entregue"/>
    <x v="1"/>
    <n v="12"/>
    <x v="10"/>
    <x v="10"/>
    <x v="0"/>
    <s v="S2"/>
  </r>
  <r>
    <s v="PC-2024-0298"/>
    <n v="5"/>
    <s v="Webcam HD"/>
    <n v="5"/>
    <x v="2"/>
    <x v="1"/>
    <s v="2024-12-10"/>
    <s v="2024-12-20"/>
    <s v="2024-12-20"/>
    <n v="37"/>
    <n v="250"/>
    <n v="9250"/>
    <s v="Entregue"/>
    <x v="1"/>
    <n v="10"/>
    <x v="5"/>
    <x v="5"/>
    <x v="0"/>
    <s v="S2"/>
  </r>
  <r>
    <s v="PC-2024-0299"/>
    <n v="30"/>
    <s v="Apagador"/>
    <n v="3"/>
    <x v="9"/>
    <x v="5"/>
    <s v="2024-01-21"/>
    <s v="2024-01-26"/>
    <s v="2024-01-26"/>
    <n v="12"/>
    <n v="18"/>
    <n v="216"/>
    <s v="Entregue"/>
    <x v="1"/>
    <n v="5"/>
    <x v="3"/>
    <x v="3"/>
    <x v="2"/>
    <s v="S1"/>
  </r>
  <r>
    <s v="PC-2024-0300"/>
    <n v="26"/>
    <s v="Livro Didático"/>
    <n v="8"/>
    <x v="0"/>
    <x v="0"/>
    <s v="2024-08-28"/>
    <s v="2024-09-04"/>
    <s v="2024-09-04"/>
    <n v="29"/>
    <n v="85"/>
    <n v="2465"/>
    <s v="Entregue"/>
    <x v="1"/>
    <n v="7"/>
    <x v="9"/>
    <x v="9"/>
    <x v="3"/>
    <s v="S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29035-78E5-4B0D-87E5-B40EA4AB03C9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2">
  <location ref="A43:B5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showAll="0"/>
    <pivotField showAll="0"/>
    <pivotField showAll="0"/>
    <pivotField showAll="0">
      <items count="13">
        <item x="3"/>
        <item x="2"/>
        <item x="6"/>
        <item x="4"/>
        <item x="1"/>
        <item x="7"/>
        <item x="8"/>
        <item x="9"/>
        <item x="11"/>
        <item x="10"/>
        <item x="0"/>
        <item x="5"/>
        <item t="default"/>
      </items>
    </pivotField>
    <pivotField axis="axisRow" showAll="0" includeNewItemsInFilter="1" nonAutoSortDefault="1">
      <items count="13">
        <item x="3"/>
        <item x="2"/>
        <item x="6"/>
        <item x="4"/>
        <item x="1"/>
        <item x="7"/>
        <item x="8"/>
        <item x="9"/>
        <item x="11"/>
        <item x="10"/>
        <item x="0"/>
        <item x="5"/>
        <item t="default"/>
      </items>
    </pivotField>
    <pivotField showAll="0"/>
    <pivotField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Total" fld="11" baseField="0" baseItem="0" numFmtId="165"/>
  </dataFields>
  <chartFormats count="6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531A7-B0B9-4DDF-A76F-86954BE1F0B0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1:F39" firstHeaderRow="1" firstDataRow="2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5"/>
        <item x="0"/>
        <item x="2"/>
        <item x="1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Média de Lead Time" fld="14" subtotal="average" baseField="17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6E482-D2DE-4516-8486-B27A59258822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F27" firstHeaderRow="1" firstDataRow="2" firstDataCol="1"/>
  <pivotFields count="19">
    <pivotField showAll="0"/>
    <pivotField showAll="0"/>
    <pivotField showAll="0"/>
    <pivotField showAll="0"/>
    <pivotField axis="axisRow" showAll="0">
      <items count="11">
        <item x="4"/>
        <item x="5"/>
        <item x="0"/>
        <item x="2"/>
        <item x="8"/>
        <item x="3"/>
        <item x="7"/>
        <item x="6"/>
        <item x="9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dataField="1" showAll="0">
      <items count="13">
        <item x="1"/>
        <item x="4"/>
        <item x="2"/>
        <item x="5"/>
        <item x="3"/>
        <item x="7"/>
        <item x="0"/>
        <item x="9"/>
        <item x="6"/>
        <item x="10"/>
        <item x="11"/>
        <item x="8"/>
        <item t="default"/>
      </items>
    </pivotField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Dias Atraso" fld="13" subtotal="count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BACD8-6132-4E4E-84A5-8DD7D090A29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1" firstHeaderRow="1" firstDataRow="2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5"/>
        <item x="0"/>
        <item x="2"/>
        <item x="1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 Total" fld="11" baseField="0" baseItem="0" numFmtId="165"/>
  </dataFields>
  <conditionalFormats count="5"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>
              <x v="0"/>
              <x v="1"/>
              <x v="2"/>
              <x v="3"/>
              <x v="4"/>
              <x v="5"/>
            </reference>
            <reference field="17" count="1" selected="0">
              <x v="0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>
              <x v="0"/>
              <x v="1"/>
              <x v="2"/>
              <x v="3"/>
              <x v="4"/>
              <x v="5"/>
            </reference>
            <reference field="17" count="1" selected="0">
              <x v="1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>
              <x v="0"/>
              <x v="1"/>
              <x v="2"/>
              <x v="3"/>
              <x v="4"/>
              <x v="5"/>
            </reference>
            <reference field="17" count="1" selected="0"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>
              <x v="0"/>
              <x v="1"/>
              <x v="2"/>
              <x v="3"/>
              <x v="4"/>
              <x v="5"/>
            </reference>
            <reference field="17" count="1" selected="0">
              <x v="3"/>
            </reference>
          </references>
        </pivotArea>
      </pivotAreas>
    </conditionalFormat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7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Forn" displayName="tForn" ref="A1:H16">
  <autoFilter ref="A1:H16" xr:uid="{00000000-0009-0000-0100-000001000000}"/>
  <tableColumns count="8">
    <tableColumn id="1" xr3:uid="{00000000-0010-0000-0000-000001000000}" name="ID"/>
    <tableColumn id="2" xr3:uid="{00000000-0010-0000-0000-000002000000}" name="Fornecedor"/>
    <tableColumn id="3" xr3:uid="{00000000-0010-0000-0000-000003000000}" name="CNPJ"/>
    <tableColumn id="4" xr3:uid="{00000000-0010-0000-0000-000004000000}" name="Categoria"/>
    <tableColumn id="5" xr3:uid="{00000000-0010-0000-0000-000005000000}" name="Cidade"/>
    <tableColumn id="6" xr3:uid="{00000000-0010-0000-0000-000006000000}" name="Ativo"/>
    <tableColumn id="7" xr3:uid="{00000000-0010-0000-0000-000007000000}" name="Prazo Dias"/>
    <tableColumn id="8" xr3:uid="{00000000-0010-0000-0000-000008000000}" name="Avali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ed" displayName="tPed" ref="A1:S301">
  <autoFilter ref="A1:S301" xr:uid="{00000000-0009-0000-0100-000002000000}"/>
  <tableColumns count="19">
    <tableColumn id="1" xr3:uid="{00000000-0010-0000-0100-000001000000}" name="ID Pedido"/>
    <tableColumn id="2" xr3:uid="{00000000-0010-0000-0100-000002000000}" name="ID Produto"/>
    <tableColumn id="3" xr3:uid="{00000000-0010-0000-0100-000003000000}" name="Produto"/>
    <tableColumn id="4" xr3:uid="{00000000-0010-0000-0100-000004000000}" name="ID Forn"/>
    <tableColumn id="5" xr3:uid="{00000000-0010-0000-0100-000005000000}" name="Fornecedor"/>
    <tableColumn id="6" xr3:uid="{00000000-0010-0000-0100-000006000000}" name="Categoria"/>
    <tableColumn id="7" xr3:uid="{00000000-0010-0000-0100-000007000000}" name="Dt Solic"/>
    <tableColumn id="8" xr3:uid="{00000000-0010-0000-0100-000008000000}" name="Dt Prev"/>
    <tableColumn id="9" xr3:uid="{00000000-0010-0000-0100-000009000000}" name="Dt Real"/>
    <tableColumn id="10" xr3:uid="{00000000-0010-0000-0100-00000A000000}" name="Qtde"/>
    <tableColumn id="11" xr3:uid="{00000000-0010-0000-0100-00000B000000}" name="Preco Unit"/>
    <tableColumn id="12" xr3:uid="{00000000-0010-0000-0100-00000C000000}" name="Valor Total"/>
    <tableColumn id="13" xr3:uid="{00000000-0010-0000-0100-00000D000000}" name="Status"/>
    <tableColumn id="14" xr3:uid="{00000000-0010-0000-0100-00000E000000}" name="Dias Atraso"/>
    <tableColumn id="15" xr3:uid="{00000000-0010-0000-0100-00000F000000}" name="Lead Time"/>
    <tableColumn id="16" xr3:uid="{00000000-0010-0000-0100-000010000000}" name="Mes Num"/>
    <tableColumn id="17" xr3:uid="{00000000-0010-0000-0100-000011000000}" name="Mes Nome"/>
    <tableColumn id="18" xr3:uid="{00000000-0010-0000-0100-000012000000}" name="Trimestre"/>
    <tableColumn id="19" xr3:uid="{00000000-0010-0000-0100-000013000000}" name="Semest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FD4A87-BFB8-43E1-A463-1EFFF2B9FA9E}" name="Tabela3" displayName="Tabela3" ref="A3:J19" totalsRowShown="0">
  <autoFilter ref="A3:J19" xr:uid="{37FD4A87-BFB8-43E1-A463-1EFFF2B9FA9E}"/>
  <tableColumns count="10">
    <tableColumn id="1" xr3:uid="{D0911D26-3F22-4BB8-B2D0-36E70BE51544}" name="ID Pedido" dataDxfId="23"/>
    <tableColumn id="2" xr3:uid="{30379C6C-40E5-430B-8E8B-A92B351A8B76}" name="ID Fonr" dataDxfId="22">
      <calculatedColumnFormula>VLOOKUP(Tabela3[[#This Row],[ID Pedido]],tPed[#All],4,0)</calculatedColumnFormula>
    </tableColumn>
    <tableColumn id="3" xr3:uid="{B0D4E528-370A-49B5-A854-609AECD4AE4E}" name="Fornecedor" dataDxfId="21">
      <calculatedColumnFormula>VLOOKUP(Tabela3[[#This Row],[ID Pedido]],tPed[#All],5,0)</calculatedColumnFormula>
    </tableColumn>
    <tableColumn id="4" xr3:uid="{243E65B9-5F6B-4356-9A64-CE16A987A47A}" name="Categoria" dataDxfId="20">
      <calculatedColumnFormula>VLOOKUP(Tabela3[[#This Row],[ID Pedido]],tPed[#All],6,0)</calculatedColumnFormula>
    </tableColumn>
    <tableColumn id="5" xr3:uid="{25D1E091-77F8-43BA-BB02-90083930F4BC}" name="Prazo Padrao " dataDxfId="19">
      <calculatedColumnFormula>VLOOKUP(Tabela3[[#This Row],[ID Fonr]],tForn[],7,0)</calculatedColumnFormula>
    </tableColumn>
    <tableColumn id="6" xr3:uid="{2E383276-A0DB-4412-948A-1A3C826552C3}" name="Avaliacao" dataDxfId="18">
      <calculatedColumnFormula>VLOOKUP(Tabela3[[#This Row],[Fornecedor]],tForn[[Fornecedor]:[Avaliacao]],7,0)</calculatedColumnFormula>
    </tableColumn>
    <tableColumn id="7" xr3:uid="{D22B2FE6-4C3E-443D-A399-ABA81803A33E}" name="Valor Total" dataCellStyle="Moeda">
      <calculatedColumnFormula>VLOOKUP(Tabela3[[#This Row],[ID Pedido]],tPed[#All],12,0)</calculatedColumnFormula>
    </tableColumn>
    <tableColumn id="8" xr3:uid="{E83EF4B3-DDD2-41DF-9BEA-5C3BBB604A98}" name="Status" dataDxfId="17">
      <calculatedColumnFormula>VLOOKUP(Tabela3[[#This Row],[ID Pedido]],tPed[],13,0)</calculatedColumnFormula>
    </tableColumn>
    <tableColumn id="9" xr3:uid="{6E481853-B774-4276-9BB7-F5536D98B946}" name="Dias Atraso" dataDxfId="16">
      <calculatedColumnFormula>VLOOKUP(Tabela3[[#This Row],[ID Pedido]],tPed[],14,0)</calculatedColumnFormula>
    </tableColumn>
    <tableColumn id="10" xr3:uid="{47FB5E0E-FD7F-4281-814A-E7BEE7D30AC9}" name="Classificacao" dataDxfId="15">
      <calculatedColumnFormula>IF(Tabela3[[#This Row],[Avaliacao]]&gt;=4.5,"Excelente",IF(F3&gt;=3.5,"Bom",IF(F3&gt;=2.5,"Regular","Critico")))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7F8C45-A62B-46BE-86E9-8658CD666965}" name="Tabela4" displayName="Tabela4" ref="A22:G37" totalsRowShown="0">
  <autoFilter ref="A22:G37" xr:uid="{A87F8C45-A62B-46BE-86E9-8658CD666965}"/>
  <tableColumns count="7">
    <tableColumn id="1" xr3:uid="{9FF1B1B1-D541-4DB7-B475-0156324A75CE}" name="Fornecedor" dataDxfId="14"/>
    <tableColumn id="2" xr3:uid="{98B2587B-6A43-4281-882B-05D3A784F9C0}" name="ID" dataDxfId="13">
      <calculatedColumnFormula>INDEX(tForn[ID],MATCH(Tabela4[[#This Row],[Fornecedor]],tForn[Fornecedor],0))</calculatedColumnFormula>
    </tableColumn>
    <tableColumn id="3" xr3:uid="{1B0ADB0D-08BE-450D-B34B-668157145416}" name="Cidade" dataDxfId="12">
      <calculatedColumnFormula>INDEX(tForn[Cidade],MATCH(Tabela4[[#This Row],[Fornecedor]],tForn[Fornecedor],0))</calculatedColumnFormula>
    </tableColumn>
    <tableColumn id="4" xr3:uid="{87831948-DB37-41BB-B64C-EF3888F7D8E4}" name="CNPJ" dataDxfId="11">
      <calculatedColumnFormula>INDEX(tForn[CNPJ],MATCH(Tabela4[[#This Row],[Fornecedor]],tForn[Fornecedor],0))</calculatedColumnFormula>
    </tableColumn>
    <tableColumn id="5" xr3:uid="{5BDC751F-50FB-4D34-8A51-B045E10E5662}" name="Prazo Padrao" dataDxfId="10">
      <calculatedColumnFormula>INDEX(tForn[Prazo Dias],MATCH(Tabela4[[#This Row],[Fornecedor]],tForn[Fornecedor],0))</calculatedColumnFormula>
    </tableColumn>
    <tableColumn id="6" xr3:uid="{8A784EC5-9564-4E5F-A371-F86F3E8B1A80}" name="Total Pedidos" dataDxfId="9">
      <calculatedColumnFormula>COUNTIFS(tPed[Fornecedor],Tabela4[[#This Row],[Fornecedor]])</calculatedColumnFormula>
    </tableColumn>
    <tableColumn id="7" xr3:uid="{A81278DB-87CC-4E36-96C1-BA6C030715D6}" name="Valor Total" dataDxfId="8" dataCellStyle="Moeda">
      <calculatedColumnFormula>SUMIFS(tPed[Valor Total],tPed[Fornecedor],$A23)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FE7F78-07DB-49AC-9F04-880DDDC72845}" name="Tabela5" displayName="Tabela5" ref="A40:I49" totalsRowShown="0">
  <autoFilter ref="A40:I49" xr:uid="{3EFE7F78-07DB-49AC-9F04-880DDDC72845}"/>
  <tableColumns count="9">
    <tableColumn id="1" xr3:uid="{E88A13CE-AD92-4E63-AA5C-3FAA1780759B}" name="Categoria"/>
    <tableColumn id="2" xr3:uid="{D49FC2DC-8E8A-4CDA-A46D-BD5D9E4B3D66}" name="Total">
      <calculatedColumnFormula>COUNTIFS(tPed[Categoria],A41)</calculatedColumnFormula>
    </tableColumn>
    <tableColumn id="3" xr3:uid="{5469D492-5F46-484B-9AD7-477E375BB4CC}" name="Entregues" dataDxfId="7">
      <calculatedColumnFormula>COUNTIFS(tPed[Categoria],Tabela5[[#This Row],[Categoria]],tPed[Status],"Entregue")</calculatedColumnFormula>
    </tableColumn>
    <tableColumn id="4" xr3:uid="{25E6398C-F64C-4A2B-84E5-1194D00AD4C3}" name="Atrasados " dataDxfId="6">
      <calculatedColumnFormula>COUNTIFS(tPed[Categoria],Tabela5[[#This Row],[Categoria]],tPed[Dias Atraso],"&gt;"&amp;0)</calculatedColumnFormula>
    </tableColumn>
    <tableColumn id="5" xr3:uid="{0CD6FCDE-92AE-4F92-844F-7CCAFD69D1D1}" name="% Atraso" dataCellStyle="Porcentagem">
      <calculatedColumnFormula>IFERROR(Tabela5[[#This Row],[Atrasados ]]/Tabela5[[#This Row],[Total]],0)</calculatedColumnFormula>
    </tableColumn>
    <tableColumn id="6" xr3:uid="{6FC1B6C9-CF4B-4EF9-AAC5-293E08A4EB5C}" name="Baixo 1-5d" dataDxfId="5">
      <calculatedColumnFormula>COUNTIFS(tPed[Categoria],Tabela5[[#This Row],[Categoria]],tPed[Dias Atraso],"&gt;"&amp;0,tPed[Dias Atraso],"&lt;"&amp;5)</calculatedColumnFormula>
    </tableColumn>
    <tableColumn id="7" xr3:uid="{59697FBD-9134-4683-ABE1-A4713F3973AA}" name="Medio 6-10d" dataDxfId="4" dataCellStyle="Moeda">
      <calculatedColumnFormula>COUNTIFS(tPed[Categoria],Tabela5[[#This Row],[Categoria]],tPed[Dias Atraso],"&gt;"&amp;5,tPed[Dias Atraso],"&lt;"&amp;10)</calculatedColumnFormula>
    </tableColumn>
    <tableColumn id="8" xr3:uid="{034FB9E9-7959-45BB-A4ED-AF406DF8849C}" name="Critico +10d" dataDxfId="3">
      <calculatedColumnFormula>COUNTIFS(tPed[Categoria],Tabela5[[#This Row],[Categoria]],tPed[Dias Atraso],"&gt;"&amp;10)</calculatedColumnFormula>
    </tableColumn>
    <tableColumn id="9" xr3:uid="{14E10D39-761D-445E-AD2C-BCBDC32E5CA9}" name="Meta OK?" dataDxfId="2">
      <calculatedColumnFormula>IF(Tabela5[[#This Row],[% Atraso]]&lt;=0.2,"Sim","Não")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11CE02-BA21-4E49-A309-71DE6432AB0F}" name="Tabela6" displayName="Tabela6" ref="M2:N12" totalsRowCount="1">
  <autoFilter ref="M2:N11" xr:uid="{B511CE02-BA21-4E49-A309-71DE6432AB0F}"/>
  <tableColumns count="2">
    <tableColumn id="1" xr3:uid="{AE69FEC6-A02A-452C-AD4B-626DB8A344AA}" name="Coluna1"/>
    <tableColumn id="2" xr3:uid="{15E4137F-4362-48C8-8818-731EFE424299}" name="Coluna2" totalsRowDxfId="0" totalsRowCellStyle="Porcentagem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workbookViewId="0">
      <selection activeCell="G9" sqref="G9"/>
    </sheetView>
  </sheetViews>
  <sheetFormatPr defaultRowHeight="14.25" x14ac:dyDescent="0.2"/>
  <cols>
    <col min="1" max="1" width="5.875" customWidth="1"/>
    <col min="2" max="4" width="21.875" customWidth="1"/>
    <col min="5" max="5" width="15.875" customWidth="1"/>
    <col min="6" max="6" width="13.25" customWidth="1"/>
    <col min="7" max="8" width="11.875" customWidth="1"/>
  </cols>
  <sheetData>
    <row r="1" spans="1:8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b">
        <v>1</v>
      </c>
      <c r="G2" s="2">
        <v>7</v>
      </c>
      <c r="H2" s="4">
        <v>4.5</v>
      </c>
    </row>
    <row r="3" spans="1:8" x14ac:dyDescent="0.2">
      <c r="A3" s="5">
        <v>2</v>
      </c>
      <c r="B3" s="6" t="s">
        <v>12</v>
      </c>
      <c r="C3" s="5" t="s">
        <v>13</v>
      </c>
      <c r="D3" s="5" t="s">
        <v>14</v>
      </c>
      <c r="E3" s="5" t="s">
        <v>15</v>
      </c>
      <c r="F3" s="5" t="b">
        <v>1</v>
      </c>
      <c r="G3" s="5">
        <v>5</v>
      </c>
      <c r="H3" s="7">
        <v>4.2</v>
      </c>
    </row>
    <row r="4" spans="1:8" x14ac:dyDescent="0.2">
      <c r="A4" s="2">
        <v>3</v>
      </c>
      <c r="B4" s="3" t="s">
        <v>16</v>
      </c>
      <c r="C4" s="2" t="s">
        <v>17</v>
      </c>
      <c r="D4" s="2" t="s">
        <v>14</v>
      </c>
      <c r="E4" s="2" t="s">
        <v>15</v>
      </c>
      <c r="F4" s="2" t="b">
        <v>1</v>
      </c>
      <c r="G4" s="2">
        <v>5</v>
      </c>
      <c r="H4" s="4">
        <v>4</v>
      </c>
    </row>
    <row r="5" spans="1:8" x14ac:dyDescent="0.2">
      <c r="A5" s="5">
        <v>4</v>
      </c>
      <c r="B5" s="6" t="s">
        <v>18</v>
      </c>
      <c r="C5" s="5" t="s">
        <v>19</v>
      </c>
      <c r="D5" s="5" t="s">
        <v>20</v>
      </c>
      <c r="E5" s="5" t="s">
        <v>21</v>
      </c>
      <c r="F5" s="5" t="b">
        <v>1</v>
      </c>
      <c r="G5" s="5">
        <v>3</v>
      </c>
      <c r="H5" s="7">
        <v>4.8</v>
      </c>
    </row>
    <row r="6" spans="1:8" x14ac:dyDescent="0.2">
      <c r="A6" s="2">
        <v>5</v>
      </c>
      <c r="B6" s="3" t="s">
        <v>22</v>
      </c>
      <c r="C6" s="2" t="s">
        <v>23</v>
      </c>
      <c r="D6" s="2" t="s">
        <v>10</v>
      </c>
      <c r="E6" s="2" t="s">
        <v>11</v>
      </c>
      <c r="F6" s="2" t="b">
        <v>1</v>
      </c>
      <c r="G6" s="2">
        <v>10</v>
      </c>
      <c r="H6" s="4">
        <v>3.9</v>
      </c>
    </row>
    <row r="7" spans="1:8" x14ac:dyDescent="0.2">
      <c r="A7" s="5">
        <v>6</v>
      </c>
      <c r="B7" s="6" t="s">
        <v>24</v>
      </c>
      <c r="C7" s="5" t="s">
        <v>25</v>
      </c>
      <c r="D7" s="5" t="s">
        <v>26</v>
      </c>
      <c r="E7" s="5" t="s">
        <v>27</v>
      </c>
      <c r="F7" s="5" t="b">
        <v>1</v>
      </c>
      <c r="G7" s="5">
        <v>15</v>
      </c>
      <c r="H7" s="7">
        <v>4.3</v>
      </c>
    </row>
    <row r="8" spans="1:8" x14ac:dyDescent="0.2">
      <c r="A8" s="2">
        <v>7</v>
      </c>
      <c r="B8" s="3" t="s">
        <v>28</v>
      </c>
      <c r="C8" s="2" t="s">
        <v>29</v>
      </c>
      <c r="D8" s="2" t="s">
        <v>10</v>
      </c>
      <c r="E8" s="2" t="s">
        <v>30</v>
      </c>
      <c r="F8" s="2" t="b">
        <v>1</v>
      </c>
      <c r="G8" s="2">
        <v>10</v>
      </c>
      <c r="H8" s="4">
        <v>2.8</v>
      </c>
    </row>
    <row r="9" spans="1:8" x14ac:dyDescent="0.2">
      <c r="A9" s="5">
        <v>8</v>
      </c>
      <c r="B9" s="6" t="s">
        <v>31</v>
      </c>
      <c r="C9" s="5" t="s">
        <v>32</v>
      </c>
      <c r="D9" s="5" t="s">
        <v>33</v>
      </c>
      <c r="E9" s="5" t="s">
        <v>15</v>
      </c>
      <c r="F9" s="5" t="b">
        <v>1</v>
      </c>
      <c r="G9" s="5">
        <v>7</v>
      </c>
      <c r="H9" s="7">
        <v>4.5999999999999996</v>
      </c>
    </row>
    <row r="10" spans="1:8" x14ac:dyDescent="0.2">
      <c r="A10" s="2">
        <v>9</v>
      </c>
      <c r="B10" s="3" t="s">
        <v>34</v>
      </c>
      <c r="C10" s="2" t="s">
        <v>35</v>
      </c>
      <c r="D10" s="2" t="s">
        <v>36</v>
      </c>
      <c r="E10" s="2" t="s">
        <v>15</v>
      </c>
      <c r="F10" s="2" t="b">
        <v>1</v>
      </c>
      <c r="G10" s="2">
        <v>5</v>
      </c>
      <c r="H10" s="4">
        <v>4.0999999999999996</v>
      </c>
    </row>
    <row r="11" spans="1:8" x14ac:dyDescent="0.2">
      <c r="A11" s="5">
        <v>10</v>
      </c>
      <c r="B11" s="6" t="s">
        <v>37</v>
      </c>
      <c r="C11" s="5" t="s">
        <v>38</v>
      </c>
      <c r="D11" s="5" t="s">
        <v>10</v>
      </c>
      <c r="E11" s="5" t="s">
        <v>11</v>
      </c>
      <c r="F11" s="5" t="b">
        <v>1</v>
      </c>
      <c r="G11" s="5">
        <v>10</v>
      </c>
      <c r="H11" s="7">
        <v>4.4000000000000004</v>
      </c>
    </row>
    <row r="12" spans="1:8" x14ac:dyDescent="0.2">
      <c r="A12" s="2">
        <v>11</v>
      </c>
      <c r="B12" s="3" t="s">
        <v>39</v>
      </c>
      <c r="C12" s="2" t="s">
        <v>40</v>
      </c>
      <c r="D12" s="2" t="s">
        <v>41</v>
      </c>
      <c r="E12" s="2" t="s">
        <v>42</v>
      </c>
      <c r="F12" s="2" t="b">
        <v>1</v>
      </c>
      <c r="G12" s="2">
        <v>12</v>
      </c>
      <c r="H12" s="4">
        <v>3.7</v>
      </c>
    </row>
    <row r="13" spans="1:8" x14ac:dyDescent="0.2">
      <c r="A13" s="5">
        <v>12</v>
      </c>
      <c r="B13" s="6" t="s">
        <v>43</v>
      </c>
      <c r="C13" s="5" t="s">
        <v>44</v>
      </c>
      <c r="D13" s="5" t="s">
        <v>45</v>
      </c>
      <c r="E13" s="5" t="s">
        <v>30</v>
      </c>
      <c r="F13" s="5" t="b">
        <v>1</v>
      </c>
      <c r="G13" s="5">
        <v>8</v>
      </c>
      <c r="H13" s="7">
        <v>2.9</v>
      </c>
    </row>
    <row r="14" spans="1:8" x14ac:dyDescent="0.2">
      <c r="A14" s="2">
        <v>13</v>
      </c>
      <c r="B14" s="3" t="s">
        <v>46</v>
      </c>
      <c r="C14" s="2" t="s">
        <v>47</v>
      </c>
      <c r="D14" s="2" t="s">
        <v>48</v>
      </c>
      <c r="E14" s="2" t="s">
        <v>15</v>
      </c>
      <c r="F14" s="2" t="b">
        <v>1</v>
      </c>
      <c r="G14" s="2">
        <v>2</v>
      </c>
      <c r="H14" s="4">
        <v>4.7</v>
      </c>
    </row>
    <row r="15" spans="1:8" x14ac:dyDescent="0.2">
      <c r="A15" s="5">
        <v>14</v>
      </c>
      <c r="B15" s="6" t="s">
        <v>49</v>
      </c>
      <c r="C15" s="5" t="s">
        <v>50</v>
      </c>
      <c r="D15" s="5" t="s">
        <v>20</v>
      </c>
      <c r="E15" s="5" t="s">
        <v>15</v>
      </c>
      <c r="F15" s="5" t="b">
        <v>0</v>
      </c>
      <c r="G15" s="5">
        <v>3</v>
      </c>
      <c r="H15" s="7">
        <v>3.2</v>
      </c>
    </row>
    <row r="16" spans="1:8" x14ac:dyDescent="0.2">
      <c r="A16" s="2">
        <v>15</v>
      </c>
      <c r="B16" s="3" t="s">
        <v>51</v>
      </c>
      <c r="C16" s="2" t="s">
        <v>52</v>
      </c>
      <c r="D16" s="2" t="s">
        <v>33</v>
      </c>
      <c r="E16" s="2" t="s">
        <v>11</v>
      </c>
      <c r="F16" s="2" t="b">
        <v>1</v>
      </c>
      <c r="G16" s="2">
        <v>14</v>
      </c>
      <c r="H16" s="4">
        <v>4.5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1"/>
  <sheetViews>
    <sheetView showGridLines="0" tabSelected="1" workbookViewId="0">
      <selection activeCell="A2" sqref="A2"/>
    </sheetView>
  </sheetViews>
  <sheetFormatPr defaultRowHeight="14.25" x14ac:dyDescent="0.2"/>
  <cols>
    <col min="1" max="1" width="14.875" customWidth="1"/>
    <col min="2" max="2" width="9.875" customWidth="1"/>
    <col min="3" max="3" width="25.875" customWidth="1"/>
    <col min="4" max="4" width="8.875" customWidth="1"/>
    <col min="5" max="5" width="19.875" customWidth="1"/>
    <col min="6" max="6" width="17.875" customWidth="1"/>
    <col min="7" max="9" width="12.875" customWidth="1"/>
    <col min="10" max="10" width="6.875" customWidth="1"/>
    <col min="11" max="11" width="13.875" customWidth="1"/>
    <col min="12" max="12" width="15.875" customWidth="1"/>
    <col min="13" max="13" width="9.875" customWidth="1"/>
    <col min="14" max="15" width="11.875" customWidth="1"/>
    <col min="16" max="16" width="8.875" customWidth="1"/>
    <col min="17" max="19" width="9.875" customWidth="1"/>
  </cols>
  <sheetData>
    <row r="1" spans="1:19" ht="21.95" customHeight="1" x14ac:dyDescent="0.2">
      <c r="A1" s="1" t="s">
        <v>53</v>
      </c>
      <c r="B1" s="1" t="s">
        <v>54</v>
      </c>
      <c r="C1" s="1" t="s">
        <v>55</v>
      </c>
      <c r="D1" s="1" t="s">
        <v>56</v>
      </c>
      <c r="E1" s="1" t="s">
        <v>1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 x14ac:dyDescent="0.2">
      <c r="A2" s="8" t="s">
        <v>70</v>
      </c>
      <c r="B2" s="8">
        <v>28</v>
      </c>
      <c r="C2" s="8" t="s">
        <v>71</v>
      </c>
      <c r="D2" s="8">
        <v>8</v>
      </c>
      <c r="E2" s="8" t="s">
        <v>31</v>
      </c>
      <c r="F2" s="8" t="s">
        <v>33</v>
      </c>
      <c r="G2" s="8" t="s">
        <v>72</v>
      </c>
      <c r="H2" s="8" t="s">
        <v>73</v>
      </c>
      <c r="I2" s="8" t="s">
        <v>74</v>
      </c>
      <c r="J2" s="8">
        <v>18</v>
      </c>
      <c r="K2" s="9">
        <v>120</v>
      </c>
      <c r="L2" s="9">
        <v>2160</v>
      </c>
      <c r="M2" s="8" t="s">
        <v>75</v>
      </c>
      <c r="N2" s="8">
        <v>6</v>
      </c>
      <c r="O2" s="8">
        <v>13</v>
      </c>
      <c r="P2" s="8">
        <v>11</v>
      </c>
      <c r="Q2" s="8" t="s">
        <v>76</v>
      </c>
      <c r="R2" s="8" t="s">
        <v>77</v>
      </c>
      <c r="S2" s="8" t="s">
        <v>78</v>
      </c>
    </row>
    <row r="3" spans="1:19" x14ac:dyDescent="0.2">
      <c r="A3" s="10" t="s">
        <v>79</v>
      </c>
      <c r="B3" s="10">
        <v>1</v>
      </c>
      <c r="C3" s="10" t="s">
        <v>80</v>
      </c>
      <c r="D3" s="10">
        <v>1</v>
      </c>
      <c r="E3" s="10" t="s">
        <v>8</v>
      </c>
      <c r="F3" s="10" t="s">
        <v>10</v>
      </c>
      <c r="G3" s="10" t="s">
        <v>81</v>
      </c>
      <c r="H3" s="10" t="s">
        <v>82</v>
      </c>
      <c r="I3" s="10" t="s">
        <v>82</v>
      </c>
      <c r="J3" s="10">
        <v>48</v>
      </c>
      <c r="K3" s="11">
        <v>3500</v>
      </c>
      <c r="L3" s="11">
        <v>168000</v>
      </c>
      <c r="M3" s="10" t="s">
        <v>75</v>
      </c>
      <c r="N3" s="10">
        <v>0</v>
      </c>
      <c r="O3" s="10">
        <v>7</v>
      </c>
      <c r="P3" s="10">
        <v>5</v>
      </c>
      <c r="Q3" s="10" t="s">
        <v>83</v>
      </c>
      <c r="R3" s="10" t="s">
        <v>84</v>
      </c>
      <c r="S3" s="10" t="s">
        <v>85</v>
      </c>
    </row>
    <row r="4" spans="1:19" x14ac:dyDescent="0.2">
      <c r="A4" s="8" t="s">
        <v>86</v>
      </c>
      <c r="B4" s="8">
        <v>5</v>
      </c>
      <c r="C4" s="8" t="s">
        <v>87</v>
      </c>
      <c r="D4" s="8">
        <v>5</v>
      </c>
      <c r="E4" s="8" t="s">
        <v>22</v>
      </c>
      <c r="F4" s="8" t="s">
        <v>10</v>
      </c>
      <c r="G4" s="8" t="s">
        <v>88</v>
      </c>
      <c r="H4" s="8" t="s">
        <v>89</v>
      </c>
      <c r="I4" s="8" t="s">
        <v>89</v>
      </c>
      <c r="J4" s="8">
        <v>35</v>
      </c>
      <c r="K4" s="9">
        <v>250</v>
      </c>
      <c r="L4" s="9">
        <v>8750</v>
      </c>
      <c r="M4" s="8" t="s">
        <v>75</v>
      </c>
      <c r="N4" s="8">
        <v>0</v>
      </c>
      <c r="O4" s="8">
        <v>10</v>
      </c>
      <c r="P4" s="8">
        <v>2</v>
      </c>
      <c r="Q4" s="8" t="s">
        <v>90</v>
      </c>
      <c r="R4" s="8" t="s">
        <v>91</v>
      </c>
      <c r="S4" s="8" t="s">
        <v>85</v>
      </c>
    </row>
    <row r="5" spans="1:19" x14ac:dyDescent="0.2">
      <c r="A5" s="10" t="s">
        <v>92</v>
      </c>
      <c r="B5" s="10">
        <v>4</v>
      </c>
      <c r="C5" s="10" t="s">
        <v>93</v>
      </c>
      <c r="D5" s="10">
        <v>1</v>
      </c>
      <c r="E5" s="10" t="s">
        <v>8</v>
      </c>
      <c r="F5" s="10" t="s">
        <v>10</v>
      </c>
      <c r="G5" s="10" t="s">
        <v>94</v>
      </c>
      <c r="H5" s="10" t="s">
        <v>95</v>
      </c>
      <c r="I5" s="10" t="s">
        <v>95</v>
      </c>
      <c r="J5" s="10">
        <v>3</v>
      </c>
      <c r="K5" s="11">
        <v>80</v>
      </c>
      <c r="L5" s="11">
        <v>240</v>
      </c>
      <c r="M5" s="10" t="s">
        <v>75</v>
      </c>
      <c r="N5" s="10">
        <v>0</v>
      </c>
      <c r="O5" s="10">
        <v>7</v>
      </c>
      <c r="P5" s="10">
        <v>2</v>
      </c>
      <c r="Q5" s="10" t="s">
        <v>90</v>
      </c>
      <c r="R5" s="10" t="s">
        <v>91</v>
      </c>
      <c r="S5" s="10" t="s">
        <v>85</v>
      </c>
    </row>
    <row r="6" spans="1:19" x14ac:dyDescent="0.2">
      <c r="A6" s="8" t="s">
        <v>96</v>
      </c>
      <c r="B6" s="8">
        <v>27</v>
      </c>
      <c r="C6" s="8" t="s">
        <v>97</v>
      </c>
      <c r="D6" s="8">
        <v>8</v>
      </c>
      <c r="E6" s="8" t="s">
        <v>31</v>
      </c>
      <c r="F6" s="8" t="s">
        <v>33</v>
      </c>
      <c r="G6" s="8" t="s">
        <v>98</v>
      </c>
      <c r="H6" s="8" t="s">
        <v>99</v>
      </c>
      <c r="I6" s="8" t="s">
        <v>100</v>
      </c>
      <c r="J6" s="8">
        <v>33</v>
      </c>
      <c r="K6" s="9">
        <v>40</v>
      </c>
      <c r="L6" s="9">
        <v>1320</v>
      </c>
      <c r="M6" s="8" t="s">
        <v>75</v>
      </c>
      <c r="N6" s="8">
        <v>2</v>
      </c>
      <c r="O6" s="8">
        <v>9</v>
      </c>
      <c r="P6" s="8">
        <v>1</v>
      </c>
      <c r="Q6" s="8" t="s">
        <v>101</v>
      </c>
      <c r="R6" s="8" t="s">
        <v>91</v>
      </c>
      <c r="S6" s="8" t="s">
        <v>85</v>
      </c>
    </row>
    <row r="7" spans="1:19" x14ac:dyDescent="0.2">
      <c r="A7" s="10" t="s">
        <v>102</v>
      </c>
      <c r="B7" s="10">
        <v>18</v>
      </c>
      <c r="C7" s="10" t="s">
        <v>103</v>
      </c>
      <c r="D7" s="10">
        <v>6</v>
      </c>
      <c r="E7" s="10" t="s">
        <v>24</v>
      </c>
      <c r="F7" s="10" t="s">
        <v>26</v>
      </c>
      <c r="G7" s="10" t="s">
        <v>104</v>
      </c>
      <c r="H7" s="10" t="s">
        <v>105</v>
      </c>
      <c r="I7" s="10" t="s">
        <v>106</v>
      </c>
      <c r="J7" s="10">
        <v>46</v>
      </c>
      <c r="K7" s="11">
        <v>900</v>
      </c>
      <c r="L7" s="11">
        <v>41400</v>
      </c>
      <c r="M7" s="10" t="s">
        <v>75</v>
      </c>
      <c r="N7" s="10">
        <v>2</v>
      </c>
      <c r="O7" s="10">
        <v>17</v>
      </c>
      <c r="P7" s="10">
        <v>11</v>
      </c>
      <c r="Q7" s="10" t="s">
        <v>76</v>
      </c>
      <c r="R7" s="10" t="s">
        <v>77</v>
      </c>
      <c r="S7" s="10" t="s">
        <v>78</v>
      </c>
    </row>
    <row r="8" spans="1:19" x14ac:dyDescent="0.2">
      <c r="A8" s="8" t="s">
        <v>107</v>
      </c>
      <c r="B8" s="8">
        <v>21</v>
      </c>
      <c r="C8" s="8" t="s">
        <v>108</v>
      </c>
      <c r="D8" s="8">
        <v>11</v>
      </c>
      <c r="E8" s="8" t="s">
        <v>39</v>
      </c>
      <c r="F8" s="8" t="s">
        <v>41</v>
      </c>
      <c r="G8" s="8" t="s">
        <v>109</v>
      </c>
      <c r="H8" s="8" t="s">
        <v>110</v>
      </c>
      <c r="I8" s="8" t="s">
        <v>110</v>
      </c>
      <c r="J8" s="8">
        <v>27</v>
      </c>
      <c r="K8" s="9">
        <v>2800</v>
      </c>
      <c r="L8" s="9">
        <v>75600</v>
      </c>
      <c r="M8" s="8" t="s">
        <v>75</v>
      </c>
      <c r="N8" s="8">
        <v>0</v>
      </c>
      <c r="O8" s="8">
        <v>12</v>
      </c>
      <c r="P8" s="8">
        <v>11</v>
      </c>
      <c r="Q8" s="8" t="s">
        <v>76</v>
      </c>
      <c r="R8" s="8" t="s">
        <v>77</v>
      </c>
      <c r="S8" s="8" t="s">
        <v>78</v>
      </c>
    </row>
    <row r="9" spans="1:19" x14ac:dyDescent="0.2">
      <c r="A9" s="10" t="s">
        <v>111</v>
      </c>
      <c r="B9" s="10">
        <v>11</v>
      </c>
      <c r="C9" s="10" t="s">
        <v>112</v>
      </c>
      <c r="D9" s="10">
        <v>4</v>
      </c>
      <c r="E9" s="10" t="s">
        <v>18</v>
      </c>
      <c r="F9" s="10" t="s">
        <v>20</v>
      </c>
      <c r="G9" s="10" t="s">
        <v>113</v>
      </c>
      <c r="H9" s="10" t="s">
        <v>114</v>
      </c>
      <c r="I9" s="10" t="s">
        <v>114</v>
      </c>
      <c r="J9" s="10">
        <v>18</v>
      </c>
      <c r="K9" s="11">
        <v>18</v>
      </c>
      <c r="L9" s="11">
        <v>324</v>
      </c>
      <c r="M9" s="10" t="s">
        <v>75</v>
      </c>
      <c r="N9" s="10">
        <v>0</v>
      </c>
      <c r="O9" s="10">
        <v>3</v>
      </c>
      <c r="P9" s="10">
        <v>4</v>
      </c>
      <c r="Q9" s="10" t="s">
        <v>115</v>
      </c>
      <c r="R9" s="10" t="s">
        <v>84</v>
      </c>
      <c r="S9" s="10" t="s">
        <v>85</v>
      </c>
    </row>
    <row r="10" spans="1:19" x14ac:dyDescent="0.2">
      <c r="A10" s="8" t="s">
        <v>116</v>
      </c>
      <c r="B10" s="8">
        <v>18</v>
      </c>
      <c r="C10" s="8" t="s">
        <v>103</v>
      </c>
      <c r="D10" s="8">
        <v>6</v>
      </c>
      <c r="E10" s="8" t="s">
        <v>24</v>
      </c>
      <c r="F10" s="8" t="s">
        <v>26</v>
      </c>
      <c r="G10" s="8" t="s">
        <v>117</v>
      </c>
      <c r="H10" s="8" t="s">
        <v>118</v>
      </c>
      <c r="I10" s="8" t="s">
        <v>118</v>
      </c>
      <c r="J10" s="8">
        <v>11</v>
      </c>
      <c r="K10" s="9">
        <v>900</v>
      </c>
      <c r="L10" s="9">
        <v>9900</v>
      </c>
      <c r="M10" s="8" t="s">
        <v>75</v>
      </c>
      <c r="N10" s="8">
        <v>0</v>
      </c>
      <c r="O10" s="8">
        <v>15</v>
      </c>
      <c r="P10" s="8">
        <v>1</v>
      </c>
      <c r="Q10" s="8" t="s">
        <v>101</v>
      </c>
      <c r="R10" s="8" t="s">
        <v>91</v>
      </c>
      <c r="S10" s="8" t="s">
        <v>85</v>
      </c>
    </row>
    <row r="11" spans="1:19" x14ac:dyDescent="0.2">
      <c r="A11" s="10" t="s">
        <v>119</v>
      </c>
      <c r="B11" s="10">
        <v>17</v>
      </c>
      <c r="C11" s="10" t="s">
        <v>120</v>
      </c>
      <c r="D11" s="10">
        <v>6</v>
      </c>
      <c r="E11" s="10" t="s">
        <v>24</v>
      </c>
      <c r="F11" s="10" t="s">
        <v>26</v>
      </c>
      <c r="G11" s="10" t="s">
        <v>121</v>
      </c>
      <c r="H11" s="10" t="s">
        <v>122</v>
      </c>
      <c r="I11" s="10" t="s">
        <v>122</v>
      </c>
      <c r="J11" s="10">
        <v>18</v>
      </c>
      <c r="K11" s="11">
        <v>1200</v>
      </c>
      <c r="L11" s="11">
        <v>21600</v>
      </c>
      <c r="M11" s="10" t="s">
        <v>75</v>
      </c>
      <c r="N11" s="10">
        <v>0</v>
      </c>
      <c r="O11" s="10">
        <v>15</v>
      </c>
      <c r="P11" s="10">
        <v>12</v>
      </c>
      <c r="Q11" s="10" t="s">
        <v>123</v>
      </c>
      <c r="R11" s="10" t="s">
        <v>77</v>
      </c>
      <c r="S11" s="10" t="s">
        <v>78</v>
      </c>
    </row>
    <row r="12" spans="1:19" x14ac:dyDescent="0.2">
      <c r="A12" s="8" t="s">
        <v>124</v>
      </c>
      <c r="B12" s="8">
        <v>7</v>
      </c>
      <c r="C12" s="8" t="s">
        <v>125</v>
      </c>
      <c r="D12" s="8">
        <v>2</v>
      </c>
      <c r="E12" s="8" t="s">
        <v>12</v>
      </c>
      <c r="F12" s="8" t="s">
        <v>14</v>
      </c>
      <c r="G12" s="8" t="s">
        <v>126</v>
      </c>
      <c r="H12" s="8" t="s">
        <v>127</v>
      </c>
      <c r="I12" s="8" t="s">
        <v>127</v>
      </c>
      <c r="J12" s="8">
        <v>49</v>
      </c>
      <c r="K12" s="9">
        <v>18</v>
      </c>
      <c r="L12" s="9">
        <v>882</v>
      </c>
      <c r="M12" s="8" t="s">
        <v>75</v>
      </c>
      <c r="N12" s="8">
        <v>0</v>
      </c>
      <c r="O12" s="8">
        <v>5</v>
      </c>
      <c r="P12" s="8">
        <v>3</v>
      </c>
      <c r="Q12" s="8" t="s">
        <v>128</v>
      </c>
      <c r="R12" s="8" t="s">
        <v>91</v>
      </c>
      <c r="S12" s="8" t="s">
        <v>85</v>
      </c>
    </row>
    <row r="13" spans="1:19" x14ac:dyDescent="0.2">
      <c r="A13" s="10" t="s">
        <v>129</v>
      </c>
      <c r="B13" s="10">
        <v>9</v>
      </c>
      <c r="C13" s="10" t="s">
        <v>130</v>
      </c>
      <c r="D13" s="10">
        <v>2</v>
      </c>
      <c r="E13" s="10" t="s">
        <v>12</v>
      </c>
      <c r="F13" s="10" t="s">
        <v>14</v>
      </c>
      <c r="G13" s="10" t="s">
        <v>131</v>
      </c>
      <c r="H13" s="10" t="s">
        <v>132</v>
      </c>
      <c r="I13" s="10" t="s">
        <v>133</v>
      </c>
      <c r="J13" s="10">
        <v>7</v>
      </c>
      <c r="K13" s="11">
        <v>35</v>
      </c>
      <c r="L13" s="11">
        <v>245</v>
      </c>
      <c r="M13" s="10" t="s">
        <v>75</v>
      </c>
      <c r="N13" s="10">
        <v>4</v>
      </c>
      <c r="O13" s="10">
        <v>9</v>
      </c>
      <c r="P13" s="10">
        <v>6</v>
      </c>
      <c r="Q13" s="10" t="s">
        <v>134</v>
      </c>
      <c r="R13" s="10" t="s">
        <v>84</v>
      </c>
      <c r="S13" s="10" t="s">
        <v>85</v>
      </c>
    </row>
    <row r="14" spans="1:19" x14ac:dyDescent="0.2">
      <c r="A14" s="8" t="s">
        <v>135</v>
      </c>
      <c r="B14" s="8">
        <v>18</v>
      </c>
      <c r="C14" s="8" t="s">
        <v>103</v>
      </c>
      <c r="D14" s="8">
        <v>6</v>
      </c>
      <c r="E14" s="8" t="s">
        <v>24</v>
      </c>
      <c r="F14" s="8" t="s">
        <v>26</v>
      </c>
      <c r="G14" s="8" t="s">
        <v>136</v>
      </c>
      <c r="H14" s="8" t="s">
        <v>137</v>
      </c>
      <c r="I14" s="8" t="s">
        <v>137</v>
      </c>
      <c r="J14" s="8">
        <v>39</v>
      </c>
      <c r="K14" s="9">
        <v>900</v>
      </c>
      <c r="L14" s="9">
        <v>35100</v>
      </c>
      <c r="M14" s="8" t="s">
        <v>75</v>
      </c>
      <c r="N14" s="8">
        <v>0</v>
      </c>
      <c r="O14" s="8">
        <v>15</v>
      </c>
      <c r="P14" s="8">
        <v>7</v>
      </c>
      <c r="Q14" s="8" t="s">
        <v>138</v>
      </c>
      <c r="R14" s="8" t="s">
        <v>139</v>
      </c>
      <c r="S14" s="8" t="s">
        <v>78</v>
      </c>
    </row>
    <row r="15" spans="1:19" x14ac:dyDescent="0.2">
      <c r="A15" s="10" t="s">
        <v>140</v>
      </c>
      <c r="B15" s="10">
        <v>13</v>
      </c>
      <c r="C15" s="10" t="s">
        <v>141</v>
      </c>
      <c r="D15" s="10">
        <v>4</v>
      </c>
      <c r="E15" s="10" t="s">
        <v>18</v>
      </c>
      <c r="F15" s="10" t="s">
        <v>20</v>
      </c>
      <c r="G15" s="10" t="s">
        <v>142</v>
      </c>
      <c r="H15" s="10" t="s">
        <v>143</v>
      </c>
      <c r="I15" s="10" t="s">
        <v>143</v>
      </c>
      <c r="J15" s="10">
        <v>47</v>
      </c>
      <c r="K15" s="11">
        <v>65</v>
      </c>
      <c r="L15" s="11">
        <v>3055</v>
      </c>
      <c r="M15" s="10" t="s">
        <v>75</v>
      </c>
      <c r="N15" s="10">
        <v>0</v>
      </c>
      <c r="O15" s="10">
        <v>3</v>
      </c>
      <c r="P15" s="10">
        <v>5</v>
      </c>
      <c r="Q15" s="10" t="s">
        <v>83</v>
      </c>
      <c r="R15" s="10" t="s">
        <v>84</v>
      </c>
      <c r="S15" s="10" t="s">
        <v>85</v>
      </c>
    </row>
    <row r="16" spans="1:19" x14ac:dyDescent="0.2">
      <c r="A16" s="8" t="s">
        <v>144</v>
      </c>
      <c r="B16" s="8">
        <v>9</v>
      </c>
      <c r="C16" s="8" t="s">
        <v>130</v>
      </c>
      <c r="D16" s="8">
        <v>2</v>
      </c>
      <c r="E16" s="8" t="s">
        <v>12</v>
      </c>
      <c r="F16" s="8" t="s">
        <v>14</v>
      </c>
      <c r="G16" s="8" t="s">
        <v>145</v>
      </c>
      <c r="H16" s="8" t="s">
        <v>146</v>
      </c>
      <c r="I16" s="8" t="s">
        <v>146</v>
      </c>
      <c r="J16" s="8">
        <v>25</v>
      </c>
      <c r="K16" s="9">
        <v>35</v>
      </c>
      <c r="L16" s="9">
        <v>875</v>
      </c>
      <c r="M16" s="8" t="s">
        <v>75</v>
      </c>
      <c r="N16" s="8">
        <v>0</v>
      </c>
      <c r="O16" s="8">
        <v>5</v>
      </c>
      <c r="P16" s="8">
        <v>8</v>
      </c>
      <c r="Q16" s="8" t="s">
        <v>147</v>
      </c>
      <c r="R16" s="8" t="s">
        <v>139</v>
      </c>
      <c r="S16" s="8" t="s">
        <v>78</v>
      </c>
    </row>
    <row r="17" spans="1:19" x14ac:dyDescent="0.2">
      <c r="A17" s="10" t="s">
        <v>148</v>
      </c>
      <c r="B17" s="10">
        <v>24</v>
      </c>
      <c r="C17" s="10" t="s">
        <v>149</v>
      </c>
      <c r="D17" s="10">
        <v>10</v>
      </c>
      <c r="E17" s="10" t="s">
        <v>37</v>
      </c>
      <c r="F17" s="10" t="s">
        <v>10</v>
      </c>
      <c r="G17" s="10" t="s">
        <v>150</v>
      </c>
      <c r="H17" s="10" t="s">
        <v>151</v>
      </c>
      <c r="I17" s="10" t="s">
        <v>151</v>
      </c>
      <c r="J17" s="10">
        <v>41</v>
      </c>
      <c r="K17" s="11">
        <v>380</v>
      </c>
      <c r="L17" s="11">
        <v>15580</v>
      </c>
      <c r="M17" s="10" t="s">
        <v>75</v>
      </c>
      <c r="N17" s="10">
        <v>0</v>
      </c>
      <c r="O17" s="10">
        <v>10</v>
      </c>
      <c r="P17" s="10">
        <v>2</v>
      </c>
      <c r="Q17" s="10" t="s">
        <v>90</v>
      </c>
      <c r="R17" s="10" t="s">
        <v>91</v>
      </c>
      <c r="S17" s="10" t="s">
        <v>85</v>
      </c>
    </row>
    <row r="18" spans="1:19" x14ac:dyDescent="0.2">
      <c r="A18" s="8" t="s">
        <v>152</v>
      </c>
      <c r="B18" s="8">
        <v>6</v>
      </c>
      <c r="C18" s="8" t="s">
        <v>153</v>
      </c>
      <c r="D18" s="8">
        <v>2</v>
      </c>
      <c r="E18" s="8" t="s">
        <v>12</v>
      </c>
      <c r="F18" s="8" t="s">
        <v>14</v>
      </c>
      <c r="G18" s="8" t="s">
        <v>154</v>
      </c>
      <c r="H18" s="8" t="s">
        <v>155</v>
      </c>
      <c r="I18" s="8" t="s">
        <v>155</v>
      </c>
      <c r="J18" s="8">
        <v>24</v>
      </c>
      <c r="K18" s="9">
        <v>25</v>
      </c>
      <c r="L18" s="9">
        <v>600</v>
      </c>
      <c r="M18" s="8" t="s">
        <v>75</v>
      </c>
      <c r="N18" s="8">
        <v>0</v>
      </c>
      <c r="O18" s="8">
        <v>5</v>
      </c>
      <c r="P18" s="8">
        <v>11</v>
      </c>
      <c r="Q18" s="8" t="s">
        <v>76</v>
      </c>
      <c r="R18" s="8" t="s">
        <v>77</v>
      </c>
      <c r="S18" s="8" t="s">
        <v>78</v>
      </c>
    </row>
    <row r="19" spans="1:19" x14ac:dyDescent="0.2">
      <c r="A19" s="10" t="s">
        <v>156</v>
      </c>
      <c r="B19" s="10">
        <v>14</v>
      </c>
      <c r="C19" s="10" t="s">
        <v>157</v>
      </c>
      <c r="D19" s="10">
        <v>4</v>
      </c>
      <c r="E19" s="10" t="s">
        <v>18</v>
      </c>
      <c r="F19" s="10" t="s">
        <v>20</v>
      </c>
      <c r="G19" s="10" t="s">
        <v>158</v>
      </c>
      <c r="H19" s="10" t="s">
        <v>159</v>
      </c>
      <c r="I19" s="10" t="s">
        <v>160</v>
      </c>
      <c r="J19" s="10">
        <v>3</v>
      </c>
      <c r="K19" s="11">
        <v>30</v>
      </c>
      <c r="L19" s="11">
        <v>90</v>
      </c>
      <c r="M19" s="10" t="s">
        <v>75</v>
      </c>
      <c r="N19" s="10">
        <v>1</v>
      </c>
      <c r="O19" s="10">
        <v>4</v>
      </c>
      <c r="P19" s="10">
        <v>10</v>
      </c>
      <c r="Q19" s="10" t="s">
        <v>161</v>
      </c>
      <c r="R19" s="10" t="s">
        <v>77</v>
      </c>
      <c r="S19" s="10" t="s">
        <v>78</v>
      </c>
    </row>
    <row r="20" spans="1:19" x14ac:dyDescent="0.2">
      <c r="A20" s="8" t="s">
        <v>162</v>
      </c>
      <c r="B20" s="8">
        <v>6</v>
      </c>
      <c r="C20" s="8" t="s">
        <v>153</v>
      </c>
      <c r="D20" s="8">
        <v>2</v>
      </c>
      <c r="E20" s="8" t="s">
        <v>12</v>
      </c>
      <c r="F20" s="8" t="s">
        <v>14</v>
      </c>
      <c r="G20" s="8" t="s">
        <v>163</v>
      </c>
      <c r="H20" s="8" t="s">
        <v>164</v>
      </c>
      <c r="I20" s="8" t="s">
        <v>164</v>
      </c>
      <c r="J20" s="8">
        <v>19</v>
      </c>
      <c r="K20" s="9">
        <v>25</v>
      </c>
      <c r="L20" s="9">
        <v>475</v>
      </c>
      <c r="M20" s="8" t="s">
        <v>75</v>
      </c>
      <c r="N20" s="8">
        <v>0</v>
      </c>
      <c r="O20" s="8">
        <v>5</v>
      </c>
      <c r="P20" s="8">
        <v>12</v>
      </c>
      <c r="Q20" s="8" t="s">
        <v>123</v>
      </c>
      <c r="R20" s="8" t="s">
        <v>77</v>
      </c>
      <c r="S20" s="8" t="s">
        <v>78</v>
      </c>
    </row>
    <row r="21" spans="1:19" x14ac:dyDescent="0.2">
      <c r="A21" s="10" t="s">
        <v>165</v>
      </c>
      <c r="B21" s="10">
        <v>13</v>
      </c>
      <c r="C21" s="10" t="s">
        <v>141</v>
      </c>
      <c r="D21" s="10">
        <v>4</v>
      </c>
      <c r="E21" s="10" t="s">
        <v>18</v>
      </c>
      <c r="F21" s="10" t="s">
        <v>20</v>
      </c>
      <c r="G21" s="10" t="s">
        <v>150</v>
      </c>
      <c r="H21" s="10" t="s">
        <v>166</v>
      </c>
      <c r="I21" s="10" t="s">
        <v>166</v>
      </c>
      <c r="J21" s="10">
        <v>7</v>
      </c>
      <c r="K21" s="11">
        <v>65</v>
      </c>
      <c r="L21" s="11">
        <v>455</v>
      </c>
      <c r="M21" s="10" t="s">
        <v>75</v>
      </c>
      <c r="N21" s="10">
        <v>0</v>
      </c>
      <c r="O21" s="10">
        <v>3</v>
      </c>
      <c r="P21" s="10">
        <v>2</v>
      </c>
      <c r="Q21" s="10" t="s">
        <v>90</v>
      </c>
      <c r="R21" s="10" t="s">
        <v>91</v>
      </c>
      <c r="S21" s="10" t="s">
        <v>85</v>
      </c>
    </row>
    <row r="22" spans="1:19" x14ac:dyDescent="0.2">
      <c r="A22" s="8" t="s">
        <v>167</v>
      </c>
      <c r="B22" s="8">
        <v>23</v>
      </c>
      <c r="C22" s="8" t="s">
        <v>168</v>
      </c>
      <c r="D22" s="8">
        <v>10</v>
      </c>
      <c r="E22" s="8" t="s">
        <v>37</v>
      </c>
      <c r="F22" s="8" t="s">
        <v>10</v>
      </c>
      <c r="G22" s="8" t="s">
        <v>169</v>
      </c>
      <c r="H22" s="8" t="s">
        <v>170</v>
      </c>
      <c r="I22" s="8" t="s">
        <v>170</v>
      </c>
      <c r="J22" s="8">
        <v>41</v>
      </c>
      <c r="K22" s="9">
        <v>25</v>
      </c>
      <c r="L22" s="9">
        <v>1025</v>
      </c>
      <c r="M22" s="8" t="s">
        <v>75</v>
      </c>
      <c r="N22" s="8">
        <v>0</v>
      </c>
      <c r="O22" s="8">
        <v>10</v>
      </c>
      <c r="P22" s="8">
        <v>7</v>
      </c>
      <c r="Q22" s="8" t="s">
        <v>138</v>
      </c>
      <c r="R22" s="8" t="s">
        <v>139</v>
      </c>
      <c r="S22" s="8" t="s">
        <v>78</v>
      </c>
    </row>
    <row r="23" spans="1:19" x14ac:dyDescent="0.2">
      <c r="A23" s="10" t="s">
        <v>171</v>
      </c>
      <c r="B23" s="10">
        <v>19</v>
      </c>
      <c r="C23" s="10" t="s">
        <v>172</v>
      </c>
      <c r="D23" s="10">
        <v>6</v>
      </c>
      <c r="E23" s="10" t="s">
        <v>24</v>
      </c>
      <c r="F23" s="10" t="s">
        <v>26</v>
      </c>
      <c r="G23" s="10" t="s">
        <v>173</v>
      </c>
      <c r="H23" s="10" t="s">
        <v>174</v>
      </c>
      <c r="I23" s="10" t="s">
        <v>170</v>
      </c>
      <c r="J23" s="10">
        <v>14</v>
      </c>
      <c r="K23" s="11">
        <v>450</v>
      </c>
      <c r="L23" s="11">
        <v>6300</v>
      </c>
      <c r="M23" s="10" t="s">
        <v>75</v>
      </c>
      <c r="N23" s="10">
        <v>3</v>
      </c>
      <c r="O23" s="10">
        <v>18</v>
      </c>
      <c r="P23" s="10">
        <v>7</v>
      </c>
      <c r="Q23" s="10" t="s">
        <v>138</v>
      </c>
      <c r="R23" s="10" t="s">
        <v>139</v>
      </c>
      <c r="S23" s="10" t="s">
        <v>78</v>
      </c>
    </row>
    <row r="24" spans="1:19" x14ac:dyDescent="0.2">
      <c r="A24" s="8" t="s">
        <v>175</v>
      </c>
      <c r="B24" s="8">
        <v>15</v>
      </c>
      <c r="C24" s="8" t="s">
        <v>176</v>
      </c>
      <c r="D24" s="8">
        <v>14</v>
      </c>
      <c r="E24" s="8" t="s">
        <v>49</v>
      </c>
      <c r="F24" s="8" t="s">
        <v>20</v>
      </c>
      <c r="G24" s="8" t="s">
        <v>164</v>
      </c>
      <c r="H24" s="8" t="s">
        <v>177</v>
      </c>
      <c r="I24" s="8" t="s">
        <v>178</v>
      </c>
      <c r="J24" s="8">
        <v>45</v>
      </c>
      <c r="K24" s="9">
        <v>15</v>
      </c>
      <c r="L24" s="9">
        <v>675</v>
      </c>
      <c r="M24" s="8" t="s">
        <v>75</v>
      </c>
      <c r="N24" s="8">
        <v>8</v>
      </c>
      <c r="O24" s="8">
        <v>11</v>
      </c>
      <c r="P24" s="8">
        <v>12</v>
      </c>
      <c r="Q24" s="8" t="s">
        <v>123</v>
      </c>
      <c r="R24" s="8" t="s">
        <v>77</v>
      </c>
      <c r="S24" s="8" t="s">
        <v>78</v>
      </c>
    </row>
    <row r="25" spans="1:19" x14ac:dyDescent="0.2">
      <c r="A25" s="10" t="s">
        <v>179</v>
      </c>
      <c r="B25" s="10">
        <v>21</v>
      </c>
      <c r="C25" s="10" t="s">
        <v>108</v>
      </c>
      <c r="D25" s="10">
        <v>11</v>
      </c>
      <c r="E25" s="10" t="s">
        <v>39</v>
      </c>
      <c r="F25" s="10" t="s">
        <v>41</v>
      </c>
      <c r="G25" s="10" t="s">
        <v>180</v>
      </c>
      <c r="H25" s="10" t="s">
        <v>181</v>
      </c>
      <c r="I25" s="10" t="s">
        <v>181</v>
      </c>
      <c r="J25" s="10">
        <v>39</v>
      </c>
      <c r="K25" s="11">
        <v>2800</v>
      </c>
      <c r="L25" s="11">
        <v>109200</v>
      </c>
      <c r="M25" s="10" t="s">
        <v>75</v>
      </c>
      <c r="N25" s="10">
        <v>0</v>
      </c>
      <c r="O25" s="10">
        <v>12</v>
      </c>
      <c r="P25" s="10">
        <v>12</v>
      </c>
      <c r="Q25" s="10" t="s">
        <v>123</v>
      </c>
      <c r="R25" s="10" t="s">
        <v>77</v>
      </c>
      <c r="S25" s="10" t="s">
        <v>78</v>
      </c>
    </row>
    <row r="26" spans="1:19" x14ac:dyDescent="0.2">
      <c r="A26" s="8" t="s">
        <v>182</v>
      </c>
      <c r="B26" s="8">
        <v>13</v>
      </c>
      <c r="C26" s="8" t="s">
        <v>141</v>
      </c>
      <c r="D26" s="8">
        <v>4</v>
      </c>
      <c r="E26" s="8" t="s">
        <v>18</v>
      </c>
      <c r="F26" s="8" t="s">
        <v>20</v>
      </c>
      <c r="G26" s="8" t="s">
        <v>106</v>
      </c>
      <c r="H26" s="8" t="s">
        <v>183</v>
      </c>
      <c r="I26" s="8" t="s">
        <v>73</v>
      </c>
      <c r="J26" s="8">
        <v>16</v>
      </c>
      <c r="K26" s="9">
        <v>65</v>
      </c>
      <c r="L26" s="9">
        <v>1040</v>
      </c>
      <c r="M26" s="8" t="s">
        <v>75</v>
      </c>
      <c r="N26" s="8">
        <v>6</v>
      </c>
      <c r="O26" s="8">
        <v>9</v>
      </c>
      <c r="P26" s="8">
        <v>11</v>
      </c>
      <c r="Q26" s="8" t="s">
        <v>76</v>
      </c>
      <c r="R26" s="8" t="s">
        <v>77</v>
      </c>
      <c r="S26" s="8" t="s">
        <v>78</v>
      </c>
    </row>
    <row r="27" spans="1:19" x14ac:dyDescent="0.2">
      <c r="A27" s="10" t="s">
        <v>184</v>
      </c>
      <c r="B27" s="10">
        <v>11</v>
      </c>
      <c r="C27" s="10" t="s">
        <v>112</v>
      </c>
      <c r="D27" s="10">
        <v>4</v>
      </c>
      <c r="E27" s="10" t="s">
        <v>18</v>
      </c>
      <c r="F27" s="10" t="s">
        <v>20</v>
      </c>
      <c r="G27" s="10" t="s">
        <v>185</v>
      </c>
      <c r="H27" s="10" t="s">
        <v>186</v>
      </c>
      <c r="I27" s="10" t="s">
        <v>186</v>
      </c>
      <c r="J27" s="10">
        <v>18</v>
      </c>
      <c r="K27" s="11">
        <v>18</v>
      </c>
      <c r="L27" s="11">
        <v>324</v>
      </c>
      <c r="M27" s="10" t="s">
        <v>75</v>
      </c>
      <c r="N27" s="10">
        <v>0</v>
      </c>
      <c r="O27" s="10">
        <v>3</v>
      </c>
      <c r="P27" s="10">
        <v>3</v>
      </c>
      <c r="Q27" s="10" t="s">
        <v>128</v>
      </c>
      <c r="R27" s="10" t="s">
        <v>91</v>
      </c>
      <c r="S27" s="10" t="s">
        <v>85</v>
      </c>
    </row>
    <row r="28" spans="1:19" x14ac:dyDescent="0.2">
      <c r="A28" s="8" t="s">
        <v>187</v>
      </c>
      <c r="B28" s="8">
        <v>4</v>
      </c>
      <c r="C28" s="8" t="s">
        <v>93</v>
      </c>
      <c r="D28" s="8">
        <v>1</v>
      </c>
      <c r="E28" s="8" t="s">
        <v>8</v>
      </c>
      <c r="F28" s="8" t="s">
        <v>10</v>
      </c>
      <c r="G28" s="8" t="s">
        <v>72</v>
      </c>
      <c r="H28" s="8" t="s">
        <v>73</v>
      </c>
      <c r="I28" s="8" t="s">
        <v>73</v>
      </c>
      <c r="J28" s="8">
        <v>15</v>
      </c>
      <c r="K28" s="9">
        <v>80</v>
      </c>
      <c r="L28" s="9">
        <v>1200</v>
      </c>
      <c r="M28" s="8" t="s">
        <v>75</v>
      </c>
      <c r="N28" s="8">
        <v>0</v>
      </c>
      <c r="O28" s="8">
        <v>7</v>
      </c>
      <c r="P28" s="8">
        <v>11</v>
      </c>
      <c r="Q28" s="8" t="s">
        <v>76</v>
      </c>
      <c r="R28" s="8" t="s">
        <v>77</v>
      </c>
      <c r="S28" s="8" t="s">
        <v>78</v>
      </c>
    </row>
    <row r="29" spans="1:19" x14ac:dyDescent="0.2">
      <c r="A29" s="10" t="s">
        <v>188</v>
      </c>
      <c r="B29" s="10">
        <v>5</v>
      </c>
      <c r="C29" s="10" t="s">
        <v>87</v>
      </c>
      <c r="D29" s="10">
        <v>5</v>
      </c>
      <c r="E29" s="10" t="s">
        <v>22</v>
      </c>
      <c r="F29" s="10" t="s">
        <v>10</v>
      </c>
      <c r="G29" s="10" t="s">
        <v>189</v>
      </c>
      <c r="H29" s="10" t="s">
        <v>190</v>
      </c>
      <c r="I29" s="10" t="s">
        <v>190</v>
      </c>
      <c r="J29" s="10">
        <v>50</v>
      </c>
      <c r="K29" s="11">
        <v>250</v>
      </c>
      <c r="L29" s="11">
        <v>12500</v>
      </c>
      <c r="M29" s="10" t="s">
        <v>75</v>
      </c>
      <c r="N29" s="10">
        <v>0</v>
      </c>
      <c r="O29" s="10">
        <v>10</v>
      </c>
      <c r="P29" s="10">
        <v>12</v>
      </c>
      <c r="Q29" s="10" t="s">
        <v>123</v>
      </c>
      <c r="R29" s="10" t="s">
        <v>77</v>
      </c>
      <c r="S29" s="10" t="s">
        <v>78</v>
      </c>
    </row>
    <row r="30" spans="1:19" x14ac:dyDescent="0.2">
      <c r="A30" s="8" t="s">
        <v>191</v>
      </c>
      <c r="B30" s="8">
        <v>9</v>
      </c>
      <c r="C30" s="8" t="s">
        <v>130</v>
      </c>
      <c r="D30" s="8">
        <v>2</v>
      </c>
      <c r="E30" s="8" t="s">
        <v>12</v>
      </c>
      <c r="F30" s="8" t="s">
        <v>14</v>
      </c>
      <c r="G30" s="8" t="s">
        <v>192</v>
      </c>
      <c r="H30" s="8" t="s">
        <v>193</v>
      </c>
      <c r="I30" s="8" t="s">
        <v>193</v>
      </c>
      <c r="J30" s="8">
        <v>3</v>
      </c>
      <c r="K30" s="9">
        <v>35</v>
      </c>
      <c r="L30" s="9">
        <v>105</v>
      </c>
      <c r="M30" s="8" t="s">
        <v>75</v>
      </c>
      <c r="N30" s="8">
        <v>0</v>
      </c>
      <c r="O30" s="8">
        <v>5</v>
      </c>
      <c r="P30" s="8">
        <v>1</v>
      </c>
      <c r="Q30" s="8" t="s">
        <v>101</v>
      </c>
      <c r="R30" s="8" t="s">
        <v>91</v>
      </c>
      <c r="S30" s="8" t="s">
        <v>85</v>
      </c>
    </row>
    <row r="31" spans="1:19" x14ac:dyDescent="0.2">
      <c r="A31" s="10" t="s">
        <v>194</v>
      </c>
      <c r="B31" s="10">
        <v>14</v>
      </c>
      <c r="C31" s="10" t="s">
        <v>157</v>
      </c>
      <c r="D31" s="10">
        <v>4</v>
      </c>
      <c r="E31" s="10" t="s">
        <v>18</v>
      </c>
      <c r="F31" s="10" t="s">
        <v>20</v>
      </c>
      <c r="G31" s="10" t="s">
        <v>195</v>
      </c>
      <c r="H31" s="10" t="s">
        <v>196</v>
      </c>
      <c r="I31" s="10" t="s">
        <v>196</v>
      </c>
      <c r="J31" s="10">
        <v>5</v>
      </c>
      <c r="K31" s="11">
        <v>30</v>
      </c>
      <c r="L31" s="11">
        <v>150</v>
      </c>
      <c r="M31" s="10" t="s">
        <v>75</v>
      </c>
      <c r="N31" s="10">
        <v>0</v>
      </c>
      <c r="O31" s="10">
        <v>3</v>
      </c>
      <c r="P31" s="10">
        <v>6</v>
      </c>
      <c r="Q31" s="10" t="s">
        <v>134</v>
      </c>
      <c r="R31" s="10" t="s">
        <v>84</v>
      </c>
      <c r="S31" s="10" t="s">
        <v>85</v>
      </c>
    </row>
    <row r="32" spans="1:19" x14ac:dyDescent="0.2">
      <c r="A32" s="8" t="s">
        <v>197</v>
      </c>
      <c r="B32" s="8">
        <v>13</v>
      </c>
      <c r="C32" s="8" t="s">
        <v>141</v>
      </c>
      <c r="D32" s="8">
        <v>4</v>
      </c>
      <c r="E32" s="8" t="s">
        <v>18</v>
      </c>
      <c r="F32" s="8" t="s">
        <v>20</v>
      </c>
      <c r="G32" s="8" t="s">
        <v>198</v>
      </c>
      <c r="H32" s="8" t="s">
        <v>199</v>
      </c>
      <c r="I32" s="8" t="s">
        <v>199</v>
      </c>
      <c r="J32" s="8">
        <v>37</v>
      </c>
      <c r="K32" s="9">
        <v>65</v>
      </c>
      <c r="L32" s="9">
        <v>2405</v>
      </c>
      <c r="M32" s="8" t="s">
        <v>75</v>
      </c>
      <c r="N32" s="8">
        <v>0</v>
      </c>
      <c r="O32" s="8">
        <v>3</v>
      </c>
      <c r="P32" s="8">
        <v>4</v>
      </c>
      <c r="Q32" s="8" t="s">
        <v>115</v>
      </c>
      <c r="R32" s="8" t="s">
        <v>84</v>
      </c>
      <c r="S32" s="8" t="s">
        <v>85</v>
      </c>
    </row>
    <row r="33" spans="1:19" x14ac:dyDescent="0.2">
      <c r="A33" s="10" t="s">
        <v>200</v>
      </c>
      <c r="B33" s="10">
        <v>16</v>
      </c>
      <c r="C33" s="10" t="s">
        <v>201</v>
      </c>
      <c r="D33" s="10">
        <v>6</v>
      </c>
      <c r="E33" s="10" t="s">
        <v>24</v>
      </c>
      <c r="F33" s="10" t="s">
        <v>26</v>
      </c>
      <c r="G33" s="10" t="s">
        <v>195</v>
      </c>
      <c r="H33" s="10" t="s">
        <v>202</v>
      </c>
      <c r="I33" s="10" t="s">
        <v>202</v>
      </c>
      <c r="J33" s="10">
        <v>32</v>
      </c>
      <c r="K33" s="11">
        <v>850</v>
      </c>
      <c r="L33" s="11">
        <v>27200</v>
      </c>
      <c r="M33" s="10" t="s">
        <v>75</v>
      </c>
      <c r="N33" s="10">
        <v>0</v>
      </c>
      <c r="O33" s="10">
        <v>15</v>
      </c>
      <c r="P33" s="10">
        <v>6</v>
      </c>
      <c r="Q33" s="10" t="s">
        <v>134</v>
      </c>
      <c r="R33" s="10" t="s">
        <v>84</v>
      </c>
      <c r="S33" s="10" t="s">
        <v>85</v>
      </c>
    </row>
    <row r="34" spans="1:19" x14ac:dyDescent="0.2">
      <c r="A34" s="8" t="s">
        <v>203</v>
      </c>
      <c r="B34" s="8">
        <v>27</v>
      </c>
      <c r="C34" s="8" t="s">
        <v>97</v>
      </c>
      <c r="D34" s="8">
        <v>8</v>
      </c>
      <c r="E34" s="8" t="s">
        <v>31</v>
      </c>
      <c r="F34" s="8" t="s">
        <v>33</v>
      </c>
      <c r="G34" s="8" t="s">
        <v>204</v>
      </c>
      <c r="H34" s="8" t="s">
        <v>205</v>
      </c>
      <c r="I34" s="8" t="s">
        <v>205</v>
      </c>
      <c r="J34" s="8">
        <v>42</v>
      </c>
      <c r="K34" s="9">
        <v>40</v>
      </c>
      <c r="L34" s="9">
        <v>1680</v>
      </c>
      <c r="M34" s="8" t="s">
        <v>75</v>
      </c>
      <c r="N34" s="8">
        <v>0</v>
      </c>
      <c r="O34" s="8">
        <v>7</v>
      </c>
      <c r="P34" s="8">
        <v>7</v>
      </c>
      <c r="Q34" s="8" t="s">
        <v>138</v>
      </c>
      <c r="R34" s="8" t="s">
        <v>139</v>
      </c>
      <c r="S34" s="8" t="s">
        <v>78</v>
      </c>
    </row>
    <row r="35" spans="1:19" x14ac:dyDescent="0.2">
      <c r="A35" s="10" t="s">
        <v>206</v>
      </c>
      <c r="B35" s="10">
        <v>23</v>
      </c>
      <c r="C35" s="10" t="s">
        <v>168</v>
      </c>
      <c r="D35" s="10">
        <v>10</v>
      </c>
      <c r="E35" s="10" t="s">
        <v>37</v>
      </c>
      <c r="F35" s="10" t="s">
        <v>10</v>
      </c>
      <c r="G35" s="10" t="s">
        <v>207</v>
      </c>
      <c r="H35" s="10" t="s">
        <v>208</v>
      </c>
      <c r="I35" s="10" t="s">
        <v>209</v>
      </c>
      <c r="J35" s="10">
        <v>16</v>
      </c>
      <c r="K35" s="11">
        <v>25</v>
      </c>
      <c r="L35" s="11">
        <v>400</v>
      </c>
      <c r="M35" s="10" t="s">
        <v>75</v>
      </c>
      <c r="N35" s="10">
        <v>2</v>
      </c>
      <c r="O35" s="10">
        <v>12</v>
      </c>
      <c r="P35" s="10">
        <v>8</v>
      </c>
      <c r="Q35" s="10" t="s">
        <v>147</v>
      </c>
      <c r="R35" s="10" t="s">
        <v>139</v>
      </c>
      <c r="S35" s="10" t="s">
        <v>78</v>
      </c>
    </row>
    <row r="36" spans="1:19" x14ac:dyDescent="0.2">
      <c r="A36" s="8" t="s">
        <v>210</v>
      </c>
      <c r="B36" s="8">
        <v>7</v>
      </c>
      <c r="C36" s="8" t="s">
        <v>125</v>
      </c>
      <c r="D36" s="8">
        <v>2</v>
      </c>
      <c r="E36" s="8" t="s">
        <v>12</v>
      </c>
      <c r="F36" s="8" t="s">
        <v>14</v>
      </c>
      <c r="G36" s="8" t="s">
        <v>211</v>
      </c>
      <c r="H36" s="8" t="s">
        <v>212</v>
      </c>
      <c r="I36" s="8" t="s">
        <v>212</v>
      </c>
      <c r="J36" s="8">
        <v>48</v>
      </c>
      <c r="K36" s="9">
        <v>18</v>
      </c>
      <c r="L36" s="9">
        <v>864</v>
      </c>
      <c r="M36" s="8" t="s">
        <v>75</v>
      </c>
      <c r="N36" s="8">
        <v>0</v>
      </c>
      <c r="O36" s="8">
        <v>5</v>
      </c>
      <c r="P36" s="8">
        <v>10</v>
      </c>
      <c r="Q36" s="8" t="s">
        <v>161</v>
      </c>
      <c r="R36" s="8" t="s">
        <v>77</v>
      </c>
      <c r="S36" s="8" t="s">
        <v>78</v>
      </c>
    </row>
    <row r="37" spans="1:19" x14ac:dyDescent="0.2">
      <c r="A37" s="10" t="s">
        <v>213</v>
      </c>
      <c r="B37" s="10">
        <v>27</v>
      </c>
      <c r="C37" s="10" t="s">
        <v>97</v>
      </c>
      <c r="D37" s="10">
        <v>8</v>
      </c>
      <c r="E37" s="10" t="s">
        <v>31</v>
      </c>
      <c r="F37" s="10" t="s">
        <v>33</v>
      </c>
      <c r="G37" s="10" t="s">
        <v>160</v>
      </c>
      <c r="H37" s="10" t="s">
        <v>214</v>
      </c>
      <c r="I37" s="10" t="s">
        <v>214</v>
      </c>
      <c r="J37" s="10">
        <v>38</v>
      </c>
      <c r="K37" s="11">
        <v>40</v>
      </c>
      <c r="L37" s="11">
        <v>1520</v>
      </c>
      <c r="M37" s="10" t="s">
        <v>75</v>
      </c>
      <c r="N37" s="10">
        <v>0</v>
      </c>
      <c r="O37" s="10">
        <v>7</v>
      </c>
      <c r="P37" s="10">
        <v>10</v>
      </c>
      <c r="Q37" s="10" t="s">
        <v>161</v>
      </c>
      <c r="R37" s="10" t="s">
        <v>77</v>
      </c>
      <c r="S37" s="10" t="s">
        <v>78</v>
      </c>
    </row>
    <row r="38" spans="1:19" x14ac:dyDescent="0.2">
      <c r="A38" s="8" t="s">
        <v>215</v>
      </c>
      <c r="B38" s="8">
        <v>22</v>
      </c>
      <c r="C38" s="8" t="s">
        <v>216</v>
      </c>
      <c r="D38" s="8">
        <v>11</v>
      </c>
      <c r="E38" s="8" t="s">
        <v>39</v>
      </c>
      <c r="F38" s="8" t="s">
        <v>41</v>
      </c>
      <c r="G38" s="8" t="s">
        <v>170</v>
      </c>
      <c r="H38" s="8" t="s">
        <v>217</v>
      </c>
      <c r="I38" s="8" t="s">
        <v>217</v>
      </c>
      <c r="J38" s="8">
        <v>9</v>
      </c>
      <c r="K38" s="9">
        <v>350</v>
      </c>
      <c r="L38" s="9">
        <v>3150</v>
      </c>
      <c r="M38" s="8" t="s">
        <v>75</v>
      </c>
      <c r="N38" s="8">
        <v>0</v>
      </c>
      <c r="O38" s="8">
        <v>12</v>
      </c>
      <c r="P38" s="8">
        <v>7</v>
      </c>
      <c r="Q38" s="8" t="s">
        <v>138</v>
      </c>
      <c r="R38" s="8" t="s">
        <v>139</v>
      </c>
      <c r="S38" s="8" t="s">
        <v>78</v>
      </c>
    </row>
    <row r="39" spans="1:19" x14ac:dyDescent="0.2">
      <c r="A39" s="10" t="s">
        <v>218</v>
      </c>
      <c r="B39" s="10">
        <v>17</v>
      </c>
      <c r="C39" s="10" t="s">
        <v>120</v>
      </c>
      <c r="D39" s="10">
        <v>6</v>
      </c>
      <c r="E39" s="10" t="s">
        <v>24</v>
      </c>
      <c r="F39" s="10" t="s">
        <v>26</v>
      </c>
      <c r="G39" s="10" t="s">
        <v>219</v>
      </c>
      <c r="H39" s="10" t="s">
        <v>220</v>
      </c>
      <c r="I39" s="10" t="s">
        <v>220</v>
      </c>
      <c r="J39" s="10">
        <v>49</v>
      </c>
      <c r="K39" s="11">
        <v>1200</v>
      </c>
      <c r="L39" s="11">
        <v>58800</v>
      </c>
      <c r="M39" s="10" t="s">
        <v>75</v>
      </c>
      <c r="N39" s="10">
        <v>0</v>
      </c>
      <c r="O39" s="10">
        <v>15</v>
      </c>
      <c r="P39" s="10">
        <v>9</v>
      </c>
      <c r="Q39" s="10" t="s">
        <v>221</v>
      </c>
      <c r="R39" s="10" t="s">
        <v>139</v>
      </c>
      <c r="S39" s="10" t="s">
        <v>78</v>
      </c>
    </row>
    <row r="40" spans="1:19" x14ac:dyDescent="0.2">
      <c r="A40" s="8" t="s">
        <v>222</v>
      </c>
      <c r="B40" s="8">
        <v>23</v>
      </c>
      <c r="C40" s="8" t="s">
        <v>168</v>
      </c>
      <c r="D40" s="8">
        <v>10</v>
      </c>
      <c r="E40" s="8" t="s">
        <v>37</v>
      </c>
      <c r="F40" s="8" t="s">
        <v>10</v>
      </c>
      <c r="G40" s="8" t="s">
        <v>100</v>
      </c>
      <c r="H40" s="8" t="s">
        <v>223</v>
      </c>
      <c r="I40" s="8" t="s">
        <v>223</v>
      </c>
      <c r="J40" s="8">
        <v>10</v>
      </c>
      <c r="K40" s="9">
        <v>25</v>
      </c>
      <c r="L40" s="9">
        <v>250</v>
      </c>
      <c r="M40" s="8" t="s">
        <v>75</v>
      </c>
      <c r="N40" s="8">
        <v>0</v>
      </c>
      <c r="O40" s="8">
        <v>10</v>
      </c>
      <c r="P40" s="8">
        <v>1</v>
      </c>
      <c r="Q40" s="8" t="s">
        <v>101</v>
      </c>
      <c r="R40" s="8" t="s">
        <v>91</v>
      </c>
      <c r="S40" s="8" t="s">
        <v>85</v>
      </c>
    </row>
    <row r="41" spans="1:19" x14ac:dyDescent="0.2">
      <c r="A41" s="10" t="s">
        <v>224</v>
      </c>
      <c r="B41" s="10">
        <v>29</v>
      </c>
      <c r="C41" s="10" t="s">
        <v>225</v>
      </c>
      <c r="D41" s="10">
        <v>3</v>
      </c>
      <c r="E41" s="10" t="s">
        <v>16</v>
      </c>
      <c r="F41" s="10" t="s">
        <v>14</v>
      </c>
      <c r="G41" s="10" t="s">
        <v>155</v>
      </c>
      <c r="H41" s="10" t="s">
        <v>226</v>
      </c>
      <c r="I41" s="10" t="s">
        <v>109</v>
      </c>
      <c r="J41" s="10">
        <v>28</v>
      </c>
      <c r="K41" s="11">
        <v>22</v>
      </c>
      <c r="L41" s="11">
        <v>616</v>
      </c>
      <c r="M41" s="10" t="s">
        <v>75</v>
      </c>
      <c r="N41" s="10">
        <v>6</v>
      </c>
      <c r="O41" s="10">
        <v>11</v>
      </c>
      <c r="P41" s="10">
        <v>11</v>
      </c>
      <c r="Q41" s="10" t="s">
        <v>76</v>
      </c>
      <c r="R41" s="10" t="s">
        <v>77</v>
      </c>
      <c r="S41" s="10" t="s">
        <v>78</v>
      </c>
    </row>
    <row r="42" spans="1:19" x14ac:dyDescent="0.2">
      <c r="A42" s="8" t="s">
        <v>227</v>
      </c>
      <c r="B42" s="8">
        <v>7</v>
      </c>
      <c r="C42" s="8" t="s">
        <v>125</v>
      </c>
      <c r="D42" s="8">
        <v>2</v>
      </c>
      <c r="E42" s="8" t="s">
        <v>12</v>
      </c>
      <c r="F42" s="8" t="s">
        <v>14</v>
      </c>
      <c r="G42" s="8" t="s">
        <v>228</v>
      </c>
      <c r="H42" s="8" t="s">
        <v>229</v>
      </c>
      <c r="I42" s="8" t="s">
        <v>230</v>
      </c>
      <c r="J42" s="8">
        <v>39</v>
      </c>
      <c r="K42" s="9">
        <v>18</v>
      </c>
      <c r="L42" s="9">
        <v>702</v>
      </c>
      <c r="M42" s="8" t="s">
        <v>75</v>
      </c>
      <c r="N42" s="8">
        <v>4</v>
      </c>
      <c r="O42" s="8">
        <v>9</v>
      </c>
      <c r="P42" s="8">
        <v>11</v>
      </c>
      <c r="Q42" s="8" t="s">
        <v>76</v>
      </c>
      <c r="R42" s="8" t="s">
        <v>77</v>
      </c>
      <c r="S42" s="8" t="s">
        <v>78</v>
      </c>
    </row>
    <row r="43" spans="1:19" x14ac:dyDescent="0.2">
      <c r="A43" s="10" t="s">
        <v>231</v>
      </c>
      <c r="B43" s="10">
        <v>13</v>
      </c>
      <c r="C43" s="10" t="s">
        <v>141</v>
      </c>
      <c r="D43" s="10">
        <v>4</v>
      </c>
      <c r="E43" s="10" t="s">
        <v>18</v>
      </c>
      <c r="F43" s="10" t="s">
        <v>20</v>
      </c>
      <c r="G43" s="10" t="s">
        <v>232</v>
      </c>
      <c r="H43" s="10" t="s">
        <v>233</v>
      </c>
      <c r="I43" s="10" t="s">
        <v>233</v>
      </c>
      <c r="J43" s="10">
        <v>36</v>
      </c>
      <c r="K43" s="11">
        <v>65</v>
      </c>
      <c r="L43" s="11">
        <v>2340</v>
      </c>
      <c r="M43" s="10" t="s">
        <v>75</v>
      </c>
      <c r="N43" s="10">
        <v>0</v>
      </c>
      <c r="O43" s="10">
        <v>3</v>
      </c>
      <c r="P43" s="10">
        <v>8</v>
      </c>
      <c r="Q43" s="10" t="s">
        <v>147</v>
      </c>
      <c r="R43" s="10" t="s">
        <v>139</v>
      </c>
      <c r="S43" s="10" t="s">
        <v>78</v>
      </c>
    </row>
    <row r="44" spans="1:19" x14ac:dyDescent="0.2">
      <c r="A44" s="8" t="s">
        <v>234</v>
      </c>
      <c r="B44" s="8">
        <v>30</v>
      </c>
      <c r="C44" s="8" t="s">
        <v>235</v>
      </c>
      <c r="D44" s="8">
        <v>3</v>
      </c>
      <c r="E44" s="8" t="s">
        <v>16</v>
      </c>
      <c r="F44" s="8" t="s">
        <v>14</v>
      </c>
      <c r="G44" s="8" t="s">
        <v>236</v>
      </c>
      <c r="H44" s="8" t="s">
        <v>237</v>
      </c>
      <c r="I44" s="8" t="s">
        <v>237</v>
      </c>
      <c r="J44" s="8">
        <v>8</v>
      </c>
      <c r="K44" s="9">
        <v>18</v>
      </c>
      <c r="L44" s="9">
        <v>144</v>
      </c>
      <c r="M44" s="8" t="s">
        <v>75</v>
      </c>
      <c r="N44" s="8">
        <v>0</v>
      </c>
      <c r="O44" s="8">
        <v>5</v>
      </c>
      <c r="P44" s="8">
        <v>1</v>
      </c>
      <c r="Q44" s="8" t="s">
        <v>101</v>
      </c>
      <c r="R44" s="8" t="s">
        <v>91</v>
      </c>
      <c r="S44" s="8" t="s">
        <v>85</v>
      </c>
    </row>
    <row r="45" spans="1:19" x14ac:dyDescent="0.2">
      <c r="A45" s="10" t="s">
        <v>238</v>
      </c>
      <c r="B45" s="10">
        <v>4</v>
      </c>
      <c r="C45" s="10" t="s">
        <v>93</v>
      </c>
      <c r="D45" s="10">
        <v>1</v>
      </c>
      <c r="E45" s="10" t="s">
        <v>8</v>
      </c>
      <c r="F45" s="10" t="s">
        <v>10</v>
      </c>
      <c r="G45" s="10" t="s">
        <v>180</v>
      </c>
      <c r="H45" s="10" t="s">
        <v>239</v>
      </c>
      <c r="I45" s="10" t="s">
        <v>239</v>
      </c>
      <c r="J45" s="10">
        <v>49</v>
      </c>
      <c r="K45" s="11">
        <v>80</v>
      </c>
      <c r="L45" s="11">
        <v>3920</v>
      </c>
      <c r="M45" s="10" t="s">
        <v>75</v>
      </c>
      <c r="N45" s="10">
        <v>0</v>
      </c>
      <c r="O45" s="10">
        <v>7</v>
      </c>
      <c r="P45" s="10">
        <v>12</v>
      </c>
      <c r="Q45" s="10" t="s">
        <v>123</v>
      </c>
      <c r="R45" s="10" t="s">
        <v>77</v>
      </c>
      <c r="S45" s="10" t="s">
        <v>78</v>
      </c>
    </row>
    <row r="46" spans="1:19" x14ac:dyDescent="0.2">
      <c r="A46" s="8" t="s">
        <v>240</v>
      </c>
      <c r="B46" s="8">
        <v>4</v>
      </c>
      <c r="C46" s="8" t="s">
        <v>93</v>
      </c>
      <c r="D46" s="8">
        <v>1</v>
      </c>
      <c r="E46" s="8" t="s">
        <v>8</v>
      </c>
      <c r="F46" s="8" t="s">
        <v>10</v>
      </c>
      <c r="G46" s="8" t="s">
        <v>241</v>
      </c>
      <c r="H46" s="8" t="s">
        <v>242</v>
      </c>
      <c r="I46" s="8" t="s">
        <v>242</v>
      </c>
      <c r="J46" s="8">
        <v>22</v>
      </c>
      <c r="K46" s="9">
        <v>80</v>
      </c>
      <c r="L46" s="9">
        <v>1760</v>
      </c>
      <c r="M46" s="8" t="s">
        <v>75</v>
      </c>
      <c r="N46" s="8">
        <v>0</v>
      </c>
      <c r="O46" s="8">
        <v>7</v>
      </c>
      <c r="P46" s="8">
        <v>5</v>
      </c>
      <c r="Q46" s="8" t="s">
        <v>83</v>
      </c>
      <c r="R46" s="8" t="s">
        <v>84</v>
      </c>
      <c r="S46" s="8" t="s">
        <v>85</v>
      </c>
    </row>
    <row r="47" spans="1:19" x14ac:dyDescent="0.2">
      <c r="A47" s="10" t="s">
        <v>243</v>
      </c>
      <c r="B47" s="10">
        <v>22</v>
      </c>
      <c r="C47" s="10" t="s">
        <v>216</v>
      </c>
      <c r="D47" s="10">
        <v>11</v>
      </c>
      <c r="E47" s="10" t="s">
        <v>39</v>
      </c>
      <c r="F47" s="10" t="s">
        <v>41</v>
      </c>
      <c r="G47" s="10" t="s">
        <v>244</v>
      </c>
      <c r="H47" s="10" t="s">
        <v>245</v>
      </c>
      <c r="I47" s="10" t="s">
        <v>245</v>
      </c>
      <c r="J47" s="10">
        <v>11</v>
      </c>
      <c r="K47" s="11">
        <v>350</v>
      </c>
      <c r="L47" s="11">
        <v>3850</v>
      </c>
      <c r="M47" s="10" t="s">
        <v>75</v>
      </c>
      <c r="N47" s="10">
        <v>0</v>
      </c>
      <c r="O47" s="10">
        <v>12</v>
      </c>
      <c r="P47" s="10">
        <v>2</v>
      </c>
      <c r="Q47" s="10" t="s">
        <v>90</v>
      </c>
      <c r="R47" s="10" t="s">
        <v>91</v>
      </c>
      <c r="S47" s="10" t="s">
        <v>85</v>
      </c>
    </row>
    <row r="48" spans="1:19" x14ac:dyDescent="0.2">
      <c r="A48" s="8" t="s">
        <v>246</v>
      </c>
      <c r="B48" s="8">
        <v>17</v>
      </c>
      <c r="C48" s="8" t="s">
        <v>120</v>
      </c>
      <c r="D48" s="8">
        <v>6</v>
      </c>
      <c r="E48" s="8" t="s">
        <v>24</v>
      </c>
      <c r="F48" s="8" t="s">
        <v>26</v>
      </c>
      <c r="G48" s="8" t="s">
        <v>247</v>
      </c>
      <c r="H48" s="8" t="s">
        <v>248</v>
      </c>
      <c r="I48" s="8" t="s">
        <v>249</v>
      </c>
      <c r="J48" s="8">
        <v>47</v>
      </c>
      <c r="K48" s="9">
        <v>1200</v>
      </c>
      <c r="L48" s="9">
        <v>56400</v>
      </c>
      <c r="M48" s="8" t="s">
        <v>75</v>
      </c>
      <c r="N48" s="8">
        <v>6</v>
      </c>
      <c r="O48" s="8">
        <v>21</v>
      </c>
      <c r="P48" s="8">
        <v>8</v>
      </c>
      <c r="Q48" s="8" t="s">
        <v>147</v>
      </c>
      <c r="R48" s="8" t="s">
        <v>139</v>
      </c>
      <c r="S48" s="8" t="s">
        <v>78</v>
      </c>
    </row>
    <row r="49" spans="1:19" x14ac:dyDescent="0.2">
      <c r="A49" s="10" t="s">
        <v>250</v>
      </c>
      <c r="B49" s="10">
        <v>28</v>
      </c>
      <c r="C49" s="10" t="s">
        <v>71</v>
      </c>
      <c r="D49" s="10">
        <v>8</v>
      </c>
      <c r="E49" s="10" t="s">
        <v>31</v>
      </c>
      <c r="F49" s="10" t="s">
        <v>33</v>
      </c>
      <c r="G49" s="10" t="s">
        <v>251</v>
      </c>
      <c r="H49" s="10" t="s">
        <v>252</v>
      </c>
      <c r="I49" s="10" t="s">
        <v>252</v>
      </c>
      <c r="J49" s="10">
        <v>49</v>
      </c>
      <c r="K49" s="11">
        <v>120</v>
      </c>
      <c r="L49" s="11">
        <v>5880</v>
      </c>
      <c r="M49" s="10" t="s">
        <v>75</v>
      </c>
      <c r="N49" s="10">
        <v>0</v>
      </c>
      <c r="O49" s="10">
        <v>7</v>
      </c>
      <c r="P49" s="10">
        <v>5</v>
      </c>
      <c r="Q49" s="10" t="s">
        <v>83</v>
      </c>
      <c r="R49" s="10" t="s">
        <v>84</v>
      </c>
      <c r="S49" s="10" t="s">
        <v>85</v>
      </c>
    </row>
    <row r="50" spans="1:19" x14ac:dyDescent="0.2">
      <c r="A50" s="8" t="s">
        <v>253</v>
      </c>
      <c r="B50" s="8">
        <v>3</v>
      </c>
      <c r="C50" s="8" t="s">
        <v>254</v>
      </c>
      <c r="D50" s="8">
        <v>1</v>
      </c>
      <c r="E50" s="8" t="s">
        <v>8</v>
      </c>
      <c r="F50" s="8" t="s">
        <v>10</v>
      </c>
      <c r="G50" s="8" t="s">
        <v>255</v>
      </c>
      <c r="H50" s="8" t="s">
        <v>256</v>
      </c>
      <c r="I50" s="8" t="s">
        <v>256</v>
      </c>
      <c r="J50" s="8">
        <v>7</v>
      </c>
      <c r="K50" s="9">
        <v>150</v>
      </c>
      <c r="L50" s="9">
        <v>1050</v>
      </c>
      <c r="M50" s="8" t="s">
        <v>75</v>
      </c>
      <c r="N50" s="8">
        <v>0</v>
      </c>
      <c r="O50" s="8">
        <v>7</v>
      </c>
      <c r="P50" s="8">
        <v>4</v>
      </c>
      <c r="Q50" s="8" t="s">
        <v>115</v>
      </c>
      <c r="R50" s="8" t="s">
        <v>84</v>
      </c>
      <c r="S50" s="8" t="s">
        <v>85</v>
      </c>
    </row>
    <row r="51" spans="1:19" x14ac:dyDescent="0.2">
      <c r="A51" s="10" t="s">
        <v>257</v>
      </c>
      <c r="B51" s="10">
        <v>9</v>
      </c>
      <c r="C51" s="10" t="s">
        <v>130</v>
      </c>
      <c r="D51" s="10">
        <v>2</v>
      </c>
      <c r="E51" s="10" t="s">
        <v>12</v>
      </c>
      <c r="F51" s="10" t="s">
        <v>14</v>
      </c>
      <c r="G51" s="10" t="s">
        <v>258</v>
      </c>
      <c r="H51" s="10" t="s">
        <v>106</v>
      </c>
      <c r="I51" s="10" t="s">
        <v>106</v>
      </c>
      <c r="J51" s="10">
        <v>41</v>
      </c>
      <c r="K51" s="11">
        <v>35</v>
      </c>
      <c r="L51" s="11">
        <v>1435</v>
      </c>
      <c r="M51" s="10" t="s">
        <v>75</v>
      </c>
      <c r="N51" s="10">
        <v>0</v>
      </c>
      <c r="O51" s="10">
        <v>5</v>
      </c>
      <c r="P51" s="10">
        <v>11</v>
      </c>
      <c r="Q51" s="10" t="s">
        <v>76</v>
      </c>
      <c r="R51" s="10" t="s">
        <v>77</v>
      </c>
      <c r="S51" s="10" t="s">
        <v>78</v>
      </c>
    </row>
    <row r="52" spans="1:19" x14ac:dyDescent="0.2">
      <c r="A52" s="8" t="s">
        <v>259</v>
      </c>
      <c r="B52" s="8">
        <v>18</v>
      </c>
      <c r="C52" s="8" t="s">
        <v>103</v>
      </c>
      <c r="D52" s="8">
        <v>6</v>
      </c>
      <c r="E52" s="8" t="s">
        <v>24</v>
      </c>
      <c r="F52" s="8" t="s">
        <v>26</v>
      </c>
      <c r="G52" s="8" t="s">
        <v>260</v>
      </c>
      <c r="H52" s="8" t="s">
        <v>261</v>
      </c>
      <c r="I52" s="8" t="s">
        <v>261</v>
      </c>
      <c r="J52" s="8">
        <v>10</v>
      </c>
      <c r="K52" s="9">
        <v>900</v>
      </c>
      <c r="L52" s="9">
        <v>9000</v>
      </c>
      <c r="M52" s="8" t="s">
        <v>75</v>
      </c>
      <c r="N52" s="8">
        <v>0</v>
      </c>
      <c r="O52" s="8">
        <v>15</v>
      </c>
      <c r="P52" s="8">
        <v>9</v>
      </c>
      <c r="Q52" s="8" t="s">
        <v>221</v>
      </c>
      <c r="R52" s="8" t="s">
        <v>139</v>
      </c>
      <c r="S52" s="8" t="s">
        <v>78</v>
      </c>
    </row>
    <row r="53" spans="1:19" x14ac:dyDescent="0.2">
      <c r="A53" s="10" t="s">
        <v>262</v>
      </c>
      <c r="B53" s="10">
        <v>22</v>
      </c>
      <c r="C53" s="10" t="s">
        <v>216</v>
      </c>
      <c r="D53" s="10">
        <v>11</v>
      </c>
      <c r="E53" s="10" t="s">
        <v>39</v>
      </c>
      <c r="F53" s="10" t="s">
        <v>41</v>
      </c>
      <c r="G53" s="10" t="s">
        <v>263</v>
      </c>
      <c r="H53" s="10" t="s">
        <v>264</v>
      </c>
      <c r="I53" s="10" t="s">
        <v>264</v>
      </c>
      <c r="J53" s="10">
        <v>35</v>
      </c>
      <c r="K53" s="11">
        <v>350</v>
      </c>
      <c r="L53" s="11">
        <v>12250</v>
      </c>
      <c r="M53" s="10" t="s">
        <v>75</v>
      </c>
      <c r="N53" s="10">
        <v>0</v>
      </c>
      <c r="O53" s="10">
        <v>12</v>
      </c>
      <c r="P53" s="10">
        <v>7</v>
      </c>
      <c r="Q53" s="10" t="s">
        <v>138</v>
      </c>
      <c r="R53" s="10" t="s">
        <v>139</v>
      </c>
      <c r="S53" s="10" t="s">
        <v>78</v>
      </c>
    </row>
    <row r="54" spans="1:19" x14ac:dyDescent="0.2">
      <c r="A54" s="8" t="s">
        <v>265</v>
      </c>
      <c r="B54" s="8">
        <v>28</v>
      </c>
      <c r="C54" s="8" t="s">
        <v>71</v>
      </c>
      <c r="D54" s="8">
        <v>8</v>
      </c>
      <c r="E54" s="8" t="s">
        <v>31</v>
      </c>
      <c r="F54" s="8" t="s">
        <v>33</v>
      </c>
      <c r="G54" s="8" t="s">
        <v>266</v>
      </c>
      <c r="H54" s="8" t="s">
        <v>267</v>
      </c>
      <c r="I54" s="8" t="s">
        <v>267</v>
      </c>
      <c r="J54" s="8">
        <v>39</v>
      </c>
      <c r="K54" s="9">
        <v>120</v>
      </c>
      <c r="L54" s="9">
        <v>4680</v>
      </c>
      <c r="M54" s="8" t="s">
        <v>75</v>
      </c>
      <c r="N54" s="8">
        <v>0</v>
      </c>
      <c r="O54" s="8">
        <v>7</v>
      </c>
      <c r="P54" s="8">
        <v>9</v>
      </c>
      <c r="Q54" s="8" t="s">
        <v>221</v>
      </c>
      <c r="R54" s="8" t="s">
        <v>139</v>
      </c>
      <c r="S54" s="8" t="s">
        <v>78</v>
      </c>
    </row>
    <row r="55" spans="1:19" x14ac:dyDescent="0.2">
      <c r="A55" s="10" t="s">
        <v>268</v>
      </c>
      <c r="B55" s="10">
        <v>18</v>
      </c>
      <c r="C55" s="10" t="s">
        <v>103</v>
      </c>
      <c r="D55" s="10">
        <v>6</v>
      </c>
      <c r="E55" s="10" t="s">
        <v>24</v>
      </c>
      <c r="F55" s="10" t="s">
        <v>26</v>
      </c>
      <c r="G55" s="10" t="s">
        <v>269</v>
      </c>
      <c r="H55" s="10" t="s">
        <v>270</v>
      </c>
      <c r="I55" s="10" t="s">
        <v>270</v>
      </c>
      <c r="J55" s="10">
        <v>8</v>
      </c>
      <c r="K55" s="11">
        <v>900</v>
      </c>
      <c r="L55" s="11">
        <v>7200</v>
      </c>
      <c r="M55" s="10" t="s">
        <v>75</v>
      </c>
      <c r="N55" s="10">
        <v>0</v>
      </c>
      <c r="O55" s="10">
        <v>15</v>
      </c>
      <c r="P55" s="10">
        <v>6</v>
      </c>
      <c r="Q55" s="10" t="s">
        <v>134</v>
      </c>
      <c r="R55" s="10" t="s">
        <v>84</v>
      </c>
      <c r="S55" s="10" t="s">
        <v>85</v>
      </c>
    </row>
    <row r="56" spans="1:19" x14ac:dyDescent="0.2">
      <c r="A56" s="8" t="s">
        <v>271</v>
      </c>
      <c r="B56" s="8">
        <v>23</v>
      </c>
      <c r="C56" s="8" t="s">
        <v>168</v>
      </c>
      <c r="D56" s="8">
        <v>10</v>
      </c>
      <c r="E56" s="8" t="s">
        <v>37</v>
      </c>
      <c r="F56" s="8" t="s">
        <v>10</v>
      </c>
      <c r="G56" s="8" t="s">
        <v>272</v>
      </c>
      <c r="H56" s="8" t="s">
        <v>273</v>
      </c>
      <c r="I56" s="8" t="s">
        <v>273</v>
      </c>
      <c r="J56" s="8">
        <v>20</v>
      </c>
      <c r="K56" s="9">
        <v>25</v>
      </c>
      <c r="L56" s="9">
        <v>500</v>
      </c>
      <c r="M56" s="8" t="s">
        <v>75</v>
      </c>
      <c r="N56" s="8">
        <v>0</v>
      </c>
      <c r="O56" s="8">
        <v>10</v>
      </c>
      <c r="P56" s="8">
        <v>7</v>
      </c>
      <c r="Q56" s="8" t="s">
        <v>138</v>
      </c>
      <c r="R56" s="8" t="s">
        <v>139</v>
      </c>
      <c r="S56" s="8" t="s">
        <v>78</v>
      </c>
    </row>
    <row r="57" spans="1:19" x14ac:dyDescent="0.2">
      <c r="A57" s="10" t="s">
        <v>274</v>
      </c>
      <c r="B57" s="10">
        <v>10</v>
      </c>
      <c r="C57" s="10" t="s">
        <v>275</v>
      </c>
      <c r="D57" s="10">
        <v>2</v>
      </c>
      <c r="E57" s="10" t="s">
        <v>12</v>
      </c>
      <c r="F57" s="10" t="s">
        <v>14</v>
      </c>
      <c r="G57" s="10" t="s">
        <v>276</v>
      </c>
      <c r="H57" s="10" t="s">
        <v>277</v>
      </c>
      <c r="I57" s="10" t="s">
        <v>82</v>
      </c>
      <c r="J57" s="10">
        <v>6</v>
      </c>
      <c r="K57" s="11">
        <v>45</v>
      </c>
      <c r="L57" s="11">
        <v>270</v>
      </c>
      <c r="M57" s="10" t="s">
        <v>75</v>
      </c>
      <c r="N57" s="10">
        <v>5</v>
      </c>
      <c r="O57" s="10">
        <v>10</v>
      </c>
      <c r="P57" s="10">
        <v>5</v>
      </c>
      <c r="Q57" s="10" t="s">
        <v>83</v>
      </c>
      <c r="R57" s="10" t="s">
        <v>84</v>
      </c>
      <c r="S57" s="10" t="s">
        <v>85</v>
      </c>
    </row>
    <row r="58" spans="1:19" x14ac:dyDescent="0.2">
      <c r="A58" s="8" t="s">
        <v>278</v>
      </c>
      <c r="B58" s="8">
        <v>12</v>
      </c>
      <c r="C58" s="8" t="s">
        <v>279</v>
      </c>
      <c r="D58" s="8">
        <v>4</v>
      </c>
      <c r="E58" s="8" t="s">
        <v>18</v>
      </c>
      <c r="F58" s="8" t="s">
        <v>20</v>
      </c>
      <c r="G58" s="8" t="s">
        <v>166</v>
      </c>
      <c r="H58" s="8" t="s">
        <v>280</v>
      </c>
      <c r="I58" s="8" t="s">
        <v>280</v>
      </c>
      <c r="J58" s="8">
        <v>5</v>
      </c>
      <c r="K58" s="9">
        <v>22</v>
      </c>
      <c r="L58" s="9">
        <v>110</v>
      </c>
      <c r="M58" s="8" t="s">
        <v>75</v>
      </c>
      <c r="N58" s="8">
        <v>0</v>
      </c>
      <c r="O58" s="8">
        <v>3</v>
      </c>
      <c r="P58" s="8">
        <v>2</v>
      </c>
      <c r="Q58" s="8" t="s">
        <v>90</v>
      </c>
      <c r="R58" s="8" t="s">
        <v>91</v>
      </c>
      <c r="S58" s="8" t="s">
        <v>85</v>
      </c>
    </row>
    <row r="59" spans="1:19" x14ac:dyDescent="0.2">
      <c r="A59" s="10" t="s">
        <v>281</v>
      </c>
      <c r="B59" s="10">
        <v>26</v>
      </c>
      <c r="C59" s="10" t="s">
        <v>282</v>
      </c>
      <c r="D59" s="10">
        <v>8</v>
      </c>
      <c r="E59" s="10" t="s">
        <v>31</v>
      </c>
      <c r="F59" s="10" t="s">
        <v>33</v>
      </c>
      <c r="G59" s="10" t="s">
        <v>283</v>
      </c>
      <c r="H59" s="10" t="s">
        <v>284</v>
      </c>
      <c r="I59" s="10" t="s">
        <v>284</v>
      </c>
      <c r="J59" s="10">
        <v>9</v>
      </c>
      <c r="K59" s="11">
        <v>85</v>
      </c>
      <c r="L59" s="11">
        <v>765</v>
      </c>
      <c r="M59" s="10" t="s">
        <v>75</v>
      </c>
      <c r="N59" s="10">
        <v>0</v>
      </c>
      <c r="O59" s="10">
        <v>7</v>
      </c>
      <c r="P59" s="10">
        <v>9</v>
      </c>
      <c r="Q59" s="10" t="s">
        <v>221</v>
      </c>
      <c r="R59" s="10" t="s">
        <v>139</v>
      </c>
      <c r="S59" s="10" t="s">
        <v>78</v>
      </c>
    </row>
    <row r="60" spans="1:19" x14ac:dyDescent="0.2">
      <c r="A60" s="8" t="s">
        <v>285</v>
      </c>
      <c r="B60" s="8">
        <v>20</v>
      </c>
      <c r="C60" s="8" t="s">
        <v>286</v>
      </c>
      <c r="D60" s="8">
        <v>6</v>
      </c>
      <c r="E60" s="8" t="s">
        <v>24</v>
      </c>
      <c r="F60" s="8" t="s">
        <v>26</v>
      </c>
      <c r="G60" s="8" t="s">
        <v>287</v>
      </c>
      <c r="H60" s="8" t="s">
        <v>288</v>
      </c>
      <c r="I60" s="8" t="s">
        <v>288</v>
      </c>
      <c r="J60" s="8">
        <v>36</v>
      </c>
      <c r="K60" s="9">
        <v>180</v>
      </c>
      <c r="L60" s="9">
        <v>6480</v>
      </c>
      <c r="M60" s="8" t="s">
        <v>75</v>
      </c>
      <c r="N60" s="8">
        <v>0</v>
      </c>
      <c r="O60" s="8">
        <v>15</v>
      </c>
      <c r="P60" s="8">
        <v>12</v>
      </c>
      <c r="Q60" s="8" t="s">
        <v>123</v>
      </c>
      <c r="R60" s="8" t="s">
        <v>77</v>
      </c>
      <c r="S60" s="8" t="s">
        <v>78</v>
      </c>
    </row>
    <row r="61" spans="1:19" x14ac:dyDescent="0.2">
      <c r="A61" s="10" t="s">
        <v>289</v>
      </c>
      <c r="B61" s="10">
        <v>15</v>
      </c>
      <c r="C61" s="10" t="s">
        <v>176</v>
      </c>
      <c r="D61" s="10">
        <v>14</v>
      </c>
      <c r="E61" s="10" t="s">
        <v>49</v>
      </c>
      <c r="F61" s="10" t="s">
        <v>20</v>
      </c>
      <c r="G61" s="10" t="s">
        <v>127</v>
      </c>
      <c r="H61" s="10" t="s">
        <v>290</v>
      </c>
      <c r="I61" s="10" t="s">
        <v>291</v>
      </c>
      <c r="J61" s="10">
        <v>34</v>
      </c>
      <c r="K61" s="11">
        <v>15</v>
      </c>
      <c r="L61" s="11">
        <v>510</v>
      </c>
      <c r="M61" s="10" t="s">
        <v>75</v>
      </c>
      <c r="N61" s="10">
        <v>8</v>
      </c>
      <c r="O61" s="10">
        <v>11</v>
      </c>
      <c r="P61" s="10">
        <v>3</v>
      </c>
      <c r="Q61" s="10" t="s">
        <v>128</v>
      </c>
      <c r="R61" s="10" t="s">
        <v>91</v>
      </c>
      <c r="S61" s="10" t="s">
        <v>85</v>
      </c>
    </row>
    <row r="62" spans="1:19" x14ac:dyDescent="0.2">
      <c r="A62" s="8" t="s">
        <v>292</v>
      </c>
      <c r="B62" s="8">
        <v>1</v>
      </c>
      <c r="C62" s="8" t="s">
        <v>80</v>
      </c>
      <c r="D62" s="8">
        <v>1</v>
      </c>
      <c r="E62" s="8" t="s">
        <v>8</v>
      </c>
      <c r="F62" s="8" t="s">
        <v>10</v>
      </c>
      <c r="G62" s="8" t="s">
        <v>229</v>
      </c>
      <c r="H62" s="8" t="s">
        <v>293</v>
      </c>
      <c r="I62" s="8" t="s">
        <v>293</v>
      </c>
      <c r="J62" s="8">
        <v>14</v>
      </c>
      <c r="K62" s="9">
        <v>3500</v>
      </c>
      <c r="L62" s="9">
        <v>49000</v>
      </c>
      <c r="M62" s="8" t="s">
        <v>75</v>
      </c>
      <c r="N62" s="8">
        <v>0</v>
      </c>
      <c r="O62" s="8">
        <v>7</v>
      </c>
      <c r="P62" s="8">
        <v>11</v>
      </c>
      <c r="Q62" s="8" t="s">
        <v>76</v>
      </c>
      <c r="R62" s="8" t="s">
        <v>77</v>
      </c>
      <c r="S62" s="8" t="s">
        <v>78</v>
      </c>
    </row>
    <row r="63" spans="1:19" x14ac:dyDescent="0.2">
      <c r="A63" s="10" t="s">
        <v>294</v>
      </c>
      <c r="B63" s="10">
        <v>25</v>
      </c>
      <c r="C63" s="10" t="s">
        <v>295</v>
      </c>
      <c r="D63" s="10">
        <v>10</v>
      </c>
      <c r="E63" s="10" t="s">
        <v>37</v>
      </c>
      <c r="F63" s="10" t="s">
        <v>10</v>
      </c>
      <c r="G63" s="10" t="s">
        <v>296</v>
      </c>
      <c r="H63" s="10" t="s">
        <v>297</v>
      </c>
      <c r="I63" s="10" t="s">
        <v>297</v>
      </c>
      <c r="J63" s="10">
        <v>45</v>
      </c>
      <c r="K63" s="11">
        <v>420</v>
      </c>
      <c r="L63" s="11">
        <v>18900</v>
      </c>
      <c r="M63" s="10" t="s">
        <v>75</v>
      </c>
      <c r="N63" s="10">
        <v>0</v>
      </c>
      <c r="O63" s="10">
        <v>10</v>
      </c>
      <c r="P63" s="10">
        <v>10</v>
      </c>
      <c r="Q63" s="10" t="s">
        <v>161</v>
      </c>
      <c r="R63" s="10" t="s">
        <v>77</v>
      </c>
      <c r="S63" s="10" t="s">
        <v>78</v>
      </c>
    </row>
    <row r="64" spans="1:19" x14ac:dyDescent="0.2">
      <c r="A64" s="8" t="s">
        <v>298</v>
      </c>
      <c r="B64" s="8">
        <v>10</v>
      </c>
      <c r="C64" s="8" t="s">
        <v>275</v>
      </c>
      <c r="D64" s="8">
        <v>2</v>
      </c>
      <c r="E64" s="8" t="s">
        <v>12</v>
      </c>
      <c r="F64" s="8" t="s">
        <v>14</v>
      </c>
      <c r="G64" s="8" t="s">
        <v>299</v>
      </c>
      <c r="H64" s="8" t="s">
        <v>300</v>
      </c>
      <c r="I64" s="8" t="s">
        <v>300</v>
      </c>
      <c r="J64" s="8">
        <v>26</v>
      </c>
      <c r="K64" s="9">
        <v>45</v>
      </c>
      <c r="L64" s="9">
        <v>1170</v>
      </c>
      <c r="M64" s="8" t="s">
        <v>75</v>
      </c>
      <c r="N64" s="8">
        <v>0</v>
      </c>
      <c r="O64" s="8">
        <v>5</v>
      </c>
      <c r="P64" s="8">
        <v>4</v>
      </c>
      <c r="Q64" s="8" t="s">
        <v>115</v>
      </c>
      <c r="R64" s="8" t="s">
        <v>84</v>
      </c>
      <c r="S64" s="8" t="s">
        <v>85</v>
      </c>
    </row>
    <row r="65" spans="1:19" x14ac:dyDescent="0.2">
      <c r="A65" s="10" t="s">
        <v>301</v>
      </c>
      <c r="B65" s="10">
        <v>10</v>
      </c>
      <c r="C65" s="10" t="s">
        <v>275</v>
      </c>
      <c r="D65" s="10">
        <v>2</v>
      </c>
      <c r="E65" s="10" t="s">
        <v>12</v>
      </c>
      <c r="F65" s="10" t="s">
        <v>14</v>
      </c>
      <c r="G65" s="10" t="s">
        <v>164</v>
      </c>
      <c r="H65" s="10" t="s">
        <v>302</v>
      </c>
      <c r="I65" s="10" t="s">
        <v>302</v>
      </c>
      <c r="J65" s="10">
        <v>29</v>
      </c>
      <c r="K65" s="11">
        <v>45</v>
      </c>
      <c r="L65" s="11">
        <v>1305</v>
      </c>
      <c r="M65" s="10" t="s">
        <v>75</v>
      </c>
      <c r="N65" s="10">
        <v>0</v>
      </c>
      <c r="O65" s="10">
        <v>5</v>
      </c>
      <c r="P65" s="10">
        <v>12</v>
      </c>
      <c r="Q65" s="10" t="s">
        <v>123</v>
      </c>
      <c r="R65" s="10" t="s">
        <v>77</v>
      </c>
      <c r="S65" s="10" t="s">
        <v>78</v>
      </c>
    </row>
    <row r="66" spans="1:19" x14ac:dyDescent="0.2">
      <c r="A66" s="8" t="s">
        <v>303</v>
      </c>
      <c r="B66" s="8">
        <v>27</v>
      </c>
      <c r="C66" s="8" t="s">
        <v>97</v>
      </c>
      <c r="D66" s="8">
        <v>8</v>
      </c>
      <c r="E66" s="8" t="s">
        <v>31</v>
      </c>
      <c r="F66" s="8" t="s">
        <v>33</v>
      </c>
      <c r="G66" s="8" t="s">
        <v>304</v>
      </c>
      <c r="H66" s="8" t="s">
        <v>266</v>
      </c>
      <c r="I66" s="8" t="s">
        <v>266</v>
      </c>
      <c r="J66" s="8">
        <v>16</v>
      </c>
      <c r="K66" s="9">
        <v>40</v>
      </c>
      <c r="L66" s="9">
        <v>640</v>
      </c>
      <c r="M66" s="8" t="s">
        <v>75</v>
      </c>
      <c r="N66" s="8">
        <v>0</v>
      </c>
      <c r="O66" s="8">
        <v>7</v>
      </c>
      <c r="P66" s="8">
        <v>9</v>
      </c>
      <c r="Q66" s="8" t="s">
        <v>221</v>
      </c>
      <c r="R66" s="8" t="s">
        <v>139</v>
      </c>
      <c r="S66" s="8" t="s">
        <v>78</v>
      </c>
    </row>
    <row r="67" spans="1:19" x14ac:dyDescent="0.2">
      <c r="A67" s="10" t="s">
        <v>305</v>
      </c>
      <c r="B67" s="10">
        <v>16</v>
      </c>
      <c r="C67" s="10" t="s">
        <v>201</v>
      </c>
      <c r="D67" s="10">
        <v>6</v>
      </c>
      <c r="E67" s="10" t="s">
        <v>24</v>
      </c>
      <c r="F67" s="10" t="s">
        <v>26</v>
      </c>
      <c r="G67" s="10" t="s">
        <v>114</v>
      </c>
      <c r="H67" s="10" t="s">
        <v>306</v>
      </c>
      <c r="I67" s="10" t="s">
        <v>307</v>
      </c>
      <c r="J67" s="10">
        <v>38</v>
      </c>
      <c r="K67" s="11">
        <v>850</v>
      </c>
      <c r="L67" s="11">
        <v>32300</v>
      </c>
      <c r="M67" s="10" t="s">
        <v>75</v>
      </c>
      <c r="N67" s="10">
        <v>1</v>
      </c>
      <c r="O67" s="10">
        <v>16</v>
      </c>
      <c r="P67" s="10">
        <v>4</v>
      </c>
      <c r="Q67" s="10" t="s">
        <v>115</v>
      </c>
      <c r="R67" s="10" t="s">
        <v>84</v>
      </c>
      <c r="S67" s="10" t="s">
        <v>85</v>
      </c>
    </row>
    <row r="68" spans="1:19" x14ac:dyDescent="0.2">
      <c r="A68" s="8" t="s">
        <v>308</v>
      </c>
      <c r="B68" s="8">
        <v>5</v>
      </c>
      <c r="C68" s="8" t="s">
        <v>87</v>
      </c>
      <c r="D68" s="8">
        <v>5</v>
      </c>
      <c r="E68" s="8" t="s">
        <v>22</v>
      </c>
      <c r="F68" s="8" t="s">
        <v>10</v>
      </c>
      <c r="G68" s="8" t="s">
        <v>309</v>
      </c>
      <c r="H68" s="8" t="s">
        <v>310</v>
      </c>
      <c r="I68" s="8" t="s">
        <v>310</v>
      </c>
      <c r="J68" s="8">
        <v>15</v>
      </c>
      <c r="K68" s="9">
        <v>250</v>
      </c>
      <c r="L68" s="9">
        <v>3750</v>
      </c>
      <c r="M68" s="8" t="s">
        <v>75</v>
      </c>
      <c r="N68" s="8">
        <v>0</v>
      </c>
      <c r="O68" s="8">
        <v>10</v>
      </c>
      <c r="P68" s="8">
        <v>10</v>
      </c>
      <c r="Q68" s="8" t="s">
        <v>161</v>
      </c>
      <c r="R68" s="8" t="s">
        <v>77</v>
      </c>
      <c r="S68" s="8" t="s">
        <v>78</v>
      </c>
    </row>
    <row r="69" spans="1:19" x14ac:dyDescent="0.2">
      <c r="A69" s="10" t="s">
        <v>311</v>
      </c>
      <c r="B69" s="10">
        <v>28</v>
      </c>
      <c r="C69" s="10" t="s">
        <v>71</v>
      </c>
      <c r="D69" s="10">
        <v>8</v>
      </c>
      <c r="E69" s="10" t="s">
        <v>31</v>
      </c>
      <c r="F69" s="10" t="s">
        <v>33</v>
      </c>
      <c r="G69" s="10" t="s">
        <v>117</v>
      </c>
      <c r="H69" s="10" t="s">
        <v>237</v>
      </c>
      <c r="I69" s="10" t="s">
        <v>312</v>
      </c>
      <c r="J69" s="10">
        <v>4</v>
      </c>
      <c r="K69" s="11">
        <v>120</v>
      </c>
      <c r="L69" s="11">
        <v>480</v>
      </c>
      <c r="M69" s="10" t="s">
        <v>75</v>
      </c>
      <c r="N69" s="10">
        <v>6</v>
      </c>
      <c r="O69" s="10">
        <v>13</v>
      </c>
      <c r="P69" s="10">
        <v>1</v>
      </c>
      <c r="Q69" s="10" t="s">
        <v>101</v>
      </c>
      <c r="R69" s="10" t="s">
        <v>91</v>
      </c>
      <c r="S69" s="10" t="s">
        <v>85</v>
      </c>
    </row>
    <row r="70" spans="1:19" x14ac:dyDescent="0.2">
      <c r="A70" s="8" t="s">
        <v>313</v>
      </c>
      <c r="B70" s="8">
        <v>11</v>
      </c>
      <c r="C70" s="8" t="s">
        <v>112</v>
      </c>
      <c r="D70" s="8">
        <v>4</v>
      </c>
      <c r="E70" s="8" t="s">
        <v>18</v>
      </c>
      <c r="F70" s="8" t="s">
        <v>20</v>
      </c>
      <c r="G70" s="8" t="s">
        <v>314</v>
      </c>
      <c r="H70" s="8" t="s">
        <v>315</v>
      </c>
      <c r="I70" s="8" t="s">
        <v>316</v>
      </c>
      <c r="J70" s="8">
        <v>22</v>
      </c>
      <c r="K70" s="9">
        <v>18</v>
      </c>
      <c r="L70" s="9">
        <v>396</v>
      </c>
      <c r="M70" s="8" t="s">
        <v>75</v>
      </c>
      <c r="N70" s="8">
        <v>1</v>
      </c>
      <c r="O70" s="8">
        <v>4</v>
      </c>
      <c r="P70" s="8">
        <v>4</v>
      </c>
      <c r="Q70" s="8" t="s">
        <v>115</v>
      </c>
      <c r="R70" s="8" t="s">
        <v>84</v>
      </c>
      <c r="S70" s="8" t="s">
        <v>85</v>
      </c>
    </row>
    <row r="71" spans="1:19" x14ac:dyDescent="0.2">
      <c r="A71" s="10" t="s">
        <v>317</v>
      </c>
      <c r="B71" s="10">
        <v>11</v>
      </c>
      <c r="C71" s="10" t="s">
        <v>112</v>
      </c>
      <c r="D71" s="10">
        <v>4</v>
      </c>
      <c r="E71" s="10" t="s">
        <v>18</v>
      </c>
      <c r="F71" s="10" t="s">
        <v>20</v>
      </c>
      <c r="G71" s="10" t="s">
        <v>318</v>
      </c>
      <c r="H71" s="10" t="s">
        <v>319</v>
      </c>
      <c r="I71" s="10" t="s">
        <v>319</v>
      </c>
      <c r="J71" s="10">
        <v>18</v>
      </c>
      <c r="K71" s="11">
        <v>18</v>
      </c>
      <c r="L71" s="11">
        <v>324</v>
      </c>
      <c r="M71" s="10" t="s">
        <v>75</v>
      </c>
      <c r="N71" s="10">
        <v>0</v>
      </c>
      <c r="O71" s="10">
        <v>3</v>
      </c>
      <c r="P71" s="10">
        <v>2</v>
      </c>
      <c r="Q71" s="10" t="s">
        <v>90</v>
      </c>
      <c r="R71" s="10" t="s">
        <v>91</v>
      </c>
      <c r="S71" s="10" t="s">
        <v>85</v>
      </c>
    </row>
    <row r="72" spans="1:19" x14ac:dyDescent="0.2">
      <c r="A72" s="8" t="s">
        <v>320</v>
      </c>
      <c r="B72" s="8">
        <v>27</v>
      </c>
      <c r="C72" s="8" t="s">
        <v>97</v>
      </c>
      <c r="D72" s="8">
        <v>8</v>
      </c>
      <c r="E72" s="8" t="s">
        <v>31</v>
      </c>
      <c r="F72" s="8" t="s">
        <v>33</v>
      </c>
      <c r="G72" s="8" t="s">
        <v>321</v>
      </c>
      <c r="H72" s="8" t="s">
        <v>180</v>
      </c>
      <c r="I72" s="8" t="s">
        <v>180</v>
      </c>
      <c r="J72" s="8">
        <v>35</v>
      </c>
      <c r="K72" s="9">
        <v>40</v>
      </c>
      <c r="L72" s="9">
        <v>1400</v>
      </c>
      <c r="M72" s="8" t="s">
        <v>75</v>
      </c>
      <c r="N72" s="8">
        <v>0</v>
      </c>
      <c r="O72" s="8">
        <v>7</v>
      </c>
      <c r="P72" s="8">
        <v>12</v>
      </c>
      <c r="Q72" s="8" t="s">
        <v>123</v>
      </c>
      <c r="R72" s="8" t="s">
        <v>77</v>
      </c>
      <c r="S72" s="8" t="s">
        <v>78</v>
      </c>
    </row>
    <row r="73" spans="1:19" x14ac:dyDescent="0.2">
      <c r="A73" s="10" t="s">
        <v>322</v>
      </c>
      <c r="B73" s="10">
        <v>6</v>
      </c>
      <c r="C73" s="10" t="s">
        <v>153</v>
      </c>
      <c r="D73" s="10">
        <v>2</v>
      </c>
      <c r="E73" s="10" t="s">
        <v>12</v>
      </c>
      <c r="F73" s="10" t="s">
        <v>14</v>
      </c>
      <c r="G73" s="10" t="s">
        <v>323</v>
      </c>
      <c r="H73" s="10" t="s">
        <v>324</v>
      </c>
      <c r="I73" s="10" t="s">
        <v>324</v>
      </c>
      <c r="J73" s="10">
        <v>37</v>
      </c>
      <c r="K73" s="11">
        <v>25</v>
      </c>
      <c r="L73" s="11">
        <v>925</v>
      </c>
      <c r="M73" s="10" t="s">
        <v>75</v>
      </c>
      <c r="N73" s="10">
        <v>0</v>
      </c>
      <c r="O73" s="10">
        <v>5</v>
      </c>
      <c r="P73" s="10">
        <v>3</v>
      </c>
      <c r="Q73" s="10" t="s">
        <v>128</v>
      </c>
      <c r="R73" s="10" t="s">
        <v>91</v>
      </c>
      <c r="S73" s="10" t="s">
        <v>85</v>
      </c>
    </row>
    <row r="74" spans="1:19" x14ac:dyDescent="0.2">
      <c r="A74" s="8" t="s">
        <v>325</v>
      </c>
      <c r="B74" s="8">
        <v>21</v>
      </c>
      <c r="C74" s="8" t="s">
        <v>108</v>
      </c>
      <c r="D74" s="8">
        <v>11</v>
      </c>
      <c r="E74" s="8" t="s">
        <v>39</v>
      </c>
      <c r="F74" s="8" t="s">
        <v>41</v>
      </c>
      <c r="G74" s="8" t="s">
        <v>158</v>
      </c>
      <c r="H74" s="8" t="s">
        <v>326</v>
      </c>
      <c r="I74" s="8" t="s">
        <v>326</v>
      </c>
      <c r="J74" s="8">
        <v>31</v>
      </c>
      <c r="K74" s="9">
        <v>2800</v>
      </c>
      <c r="L74" s="9">
        <v>86800</v>
      </c>
      <c r="M74" s="8" t="s">
        <v>75</v>
      </c>
      <c r="N74" s="8">
        <v>0</v>
      </c>
      <c r="O74" s="8">
        <v>12</v>
      </c>
      <c r="P74" s="8">
        <v>10</v>
      </c>
      <c r="Q74" s="8" t="s">
        <v>161</v>
      </c>
      <c r="R74" s="8" t="s">
        <v>77</v>
      </c>
      <c r="S74" s="8" t="s">
        <v>78</v>
      </c>
    </row>
    <row r="75" spans="1:19" x14ac:dyDescent="0.2">
      <c r="A75" s="10" t="s">
        <v>327</v>
      </c>
      <c r="B75" s="10">
        <v>26</v>
      </c>
      <c r="C75" s="10" t="s">
        <v>282</v>
      </c>
      <c r="D75" s="10">
        <v>8</v>
      </c>
      <c r="E75" s="10" t="s">
        <v>31</v>
      </c>
      <c r="F75" s="10" t="s">
        <v>33</v>
      </c>
      <c r="G75" s="10" t="s">
        <v>328</v>
      </c>
      <c r="H75" s="10" t="s">
        <v>329</v>
      </c>
      <c r="I75" s="10" t="s">
        <v>217</v>
      </c>
      <c r="J75" s="10">
        <v>43</v>
      </c>
      <c r="K75" s="11">
        <v>85</v>
      </c>
      <c r="L75" s="11">
        <v>3655</v>
      </c>
      <c r="M75" s="10" t="s">
        <v>75</v>
      </c>
      <c r="N75" s="10">
        <v>1</v>
      </c>
      <c r="O75" s="10">
        <v>8</v>
      </c>
      <c r="P75" s="10">
        <v>7</v>
      </c>
      <c r="Q75" s="10" t="s">
        <v>138</v>
      </c>
      <c r="R75" s="10" t="s">
        <v>139</v>
      </c>
      <c r="S75" s="10" t="s">
        <v>78</v>
      </c>
    </row>
    <row r="76" spans="1:19" x14ac:dyDescent="0.2">
      <c r="A76" s="8" t="s">
        <v>330</v>
      </c>
      <c r="B76" s="8">
        <v>26</v>
      </c>
      <c r="C76" s="8" t="s">
        <v>282</v>
      </c>
      <c r="D76" s="8">
        <v>8</v>
      </c>
      <c r="E76" s="8" t="s">
        <v>31</v>
      </c>
      <c r="F76" s="8" t="s">
        <v>33</v>
      </c>
      <c r="G76" s="8" t="s">
        <v>331</v>
      </c>
      <c r="H76" s="8" t="s">
        <v>332</v>
      </c>
      <c r="I76" s="8" t="s">
        <v>332</v>
      </c>
      <c r="J76" s="8">
        <v>27</v>
      </c>
      <c r="K76" s="9">
        <v>85</v>
      </c>
      <c r="L76" s="9">
        <v>2295</v>
      </c>
      <c r="M76" s="8" t="s">
        <v>75</v>
      </c>
      <c r="N76" s="8">
        <v>0</v>
      </c>
      <c r="O76" s="8">
        <v>7</v>
      </c>
      <c r="P76" s="8">
        <v>8</v>
      </c>
      <c r="Q76" s="8" t="s">
        <v>147</v>
      </c>
      <c r="R76" s="8" t="s">
        <v>139</v>
      </c>
      <c r="S76" s="8" t="s">
        <v>78</v>
      </c>
    </row>
    <row r="77" spans="1:19" x14ac:dyDescent="0.2">
      <c r="A77" s="10" t="s">
        <v>333</v>
      </c>
      <c r="B77" s="10">
        <v>23</v>
      </c>
      <c r="C77" s="10" t="s">
        <v>168</v>
      </c>
      <c r="D77" s="10">
        <v>10</v>
      </c>
      <c r="E77" s="10" t="s">
        <v>37</v>
      </c>
      <c r="F77" s="10" t="s">
        <v>10</v>
      </c>
      <c r="G77" s="10" t="s">
        <v>232</v>
      </c>
      <c r="H77" s="10" t="s">
        <v>334</v>
      </c>
      <c r="I77" s="10" t="s">
        <v>334</v>
      </c>
      <c r="J77" s="10">
        <v>4</v>
      </c>
      <c r="K77" s="11">
        <v>25</v>
      </c>
      <c r="L77" s="11">
        <v>100</v>
      </c>
      <c r="M77" s="10" t="s">
        <v>75</v>
      </c>
      <c r="N77" s="10">
        <v>0</v>
      </c>
      <c r="O77" s="10">
        <v>10</v>
      </c>
      <c r="P77" s="10">
        <v>8</v>
      </c>
      <c r="Q77" s="10" t="s">
        <v>147</v>
      </c>
      <c r="R77" s="10" t="s">
        <v>139</v>
      </c>
      <c r="S77" s="10" t="s">
        <v>78</v>
      </c>
    </row>
    <row r="78" spans="1:19" x14ac:dyDescent="0.2">
      <c r="A78" s="8" t="s">
        <v>335</v>
      </c>
      <c r="B78" s="8">
        <v>24</v>
      </c>
      <c r="C78" s="8" t="s">
        <v>149</v>
      </c>
      <c r="D78" s="8">
        <v>10</v>
      </c>
      <c r="E78" s="8" t="s">
        <v>37</v>
      </c>
      <c r="F78" s="8" t="s">
        <v>10</v>
      </c>
      <c r="G78" s="8" t="s">
        <v>110</v>
      </c>
      <c r="H78" s="8" t="s">
        <v>178</v>
      </c>
      <c r="I78" s="8" t="s">
        <v>178</v>
      </c>
      <c r="J78" s="8">
        <v>42</v>
      </c>
      <c r="K78" s="9">
        <v>380</v>
      </c>
      <c r="L78" s="9">
        <v>15960</v>
      </c>
      <c r="M78" s="8" t="s">
        <v>75</v>
      </c>
      <c r="N78" s="8">
        <v>0</v>
      </c>
      <c r="O78" s="8">
        <v>10</v>
      </c>
      <c r="P78" s="8">
        <v>12</v>
      </c>
      <c r="Q78" s="8" t="s">
        <v>123</v>
      </c>
      <c r="R78" s="8" t="s">
        <v>77</v>
      </c>
      <c r="S78" s="8" t="s">
        <v>78</v>
      </c>
    </row>
    <row r="79" spans="1:19" x14ac:dyDescent="0.2">
      <c r="A79" s="10" t="s">
        <v>336</v>
      </c>
      <c r="B79" s="10">
        <v>25</v>
      </c>
      <c r="C79" s="10" t="s">
        <v>295</v>
      </c>
      <c r="D79" s="10">
        <v>10</v>
      </c>
      <c r="E79" s="10" t="s">
        <v>37</v>
      </c>
      <c r="F79" s="10" t="s">
        <v>10</v>
      </c>
      <c r="G79" s="10" t="s">
        <v>151</v>
      </c>
      <c r="H79" s="10" t="s">
        <v>337</v>
      </c>
      <c r="I79" s="10" t="s">
        <v>338</v>
      </c>
      <c r="J79" s="10">
        <v>22</v>
      </c>
      <c r="K79" s="11">
        <v>420</v>
      </c>
      <c r="L79" s="11">
        <v>9240</v>
      </c>
      <c r="M79" s="10" t="s">
        <v>75</v>
      </c>
      <c r="N79" s="10">
        <v>6</v>
      </c>
      <c r="O79" s="10">
        <v>16</v>
      </c>
      <c r="P79" s="10">
        <v>2</v>
      </c>
      <c r="Q79" s="10" t="s">
        <v>90</v>
      </c>
      <c r="R79" s="10" t="s">
        <v>91</v>
      </c>
      <c r="S79" s="10" t="s">
        <v>85</v>
      </c>
    </row>
    <row r="80" spans="1:19" x14ac:dyDescent="0.2">
      <c r="A80" s="8" t="s">
        <v>339</v>
      </c>
      <c r="B80" s="8">
        <v>12</v>
      </c>
      <c r="C80" s="8" t="s">
        <v>279</v>
      </c>
      <c r="D80" s="8">
        <v>4</v>
      </c>
      <c r="E80" s="8" t="s">
        <v>18</v>
      </c>
      <c r="F80" s="8" t="s">
        <v>20</v>
      </c>
      <c r="G80" s="8" t="s">
        <v>340</v>
      </c>
      <c r="H80" s="8" t="s">
        <v>341</v>
      </c>
      <c r="I80" s="8" t="s">
        <v>341</v>
      </c>
      <c r="J80" s="8">
        <v>13</v>
      </c>
      <c r="K80" s="9">
        <v>22</v>
      </c>
      <c r="L80" s="9">
        <v>286</v>
      </c>
      <c r="M80" s="8" t="s">
        <v>75</v>
      </c>
      <c r="N80" s="8">
        <v>0</v>
      </c>
      <c r="O80" s="8">
        <v>3</v>
      </c>
      <c r="P80" s="8">
        <v>2</v>
      </c>
      <c r="Q80" s="8" t="s">
        <v>90</v>
      </c>
      <c r="R80" s="8" t="s">
        <v>91</v>
      </c>
      <c r="S80" s="8" t="s">
        <v>85</v>
      </c>
    </row>
    <row r="81" spans="1:19" x14ac:dyDescent="0.2">
      <c r="A81" s="10" t="s">
        <v>342</v>
      </c>
      <c r="B81" s="10">
        <v>3</v>
      </c>
      <c r="C81" s="10" t="s">
        <v>254</v>
      </c>
      <c r="D81" s="10">
        <v>1</v>
      </c>
      <c r="E81" s="10" t="s">
        <v>8</v>
      </c>
      <c r="F81" s="10" t="s">
        <v>10</v>
      </c>
      <c r="G81" s="10" t="s">
        <v>261</v>
      </c>
      <c r="H81" s="10" t="s">
        <v>343</v>
      </c>
      <c r="I81" s="10" t="s">
        <v>343</v>
      </c>
      <c r="J81" s="10">
        <v>28</v>
      </c>
      <c r="K81" s="11">
        <v>150</v>
      </c>
      <c r="L81" s="11">
        <v>4200</v>
      </c>
      <c r="M81" s="10" t="s">
        <v>75</v>
      </c>
      <c r="N81" s="10">
        <v>0</v>
      </c>
      <c r="O81" s="10">
        <v>7</v>
      </c>
      <c r="P81" s="10">
        <v>10</v>
      </c>
      <c r="Q81" s="10" t="s">
        <v>161</v>
      </c>
      <c r="R81" s="10" t="s">
        <v>77</v>
      </c>
      <c r="S81" s="10" t="s">
        <v>78</v>
      </c>
    </row>
    <row r="82" spans="1:19" x14ac:dyDescent="0.2">
      <c r="A82" s="8" t="s">
        <v>344</v>
      </c>
      <c r="B82" s="8">
        <v>30</v>
      </c>
      <c r="C82" s="8" t="s">
        <v>235</v>
      </c>
      <c r="D82" s="8">
        <v>3</v>
      </c>
      <c r="E82" s="8" t="s">
        <v>16</v>
      </c>
      <c r="F82" s="8" t="s">
        <v>14</v>
      </c>
      <c r="G82" s="8" t="s">
        <v>345</v>
      </c>
      <c r="H82" s="8" t="s">
        <v>256</v>
      </c>
      <c r="I82" s="8" t="s">
        <v>256</v>
      </c>
      <c r="J82" s="8">
        <v>16</v>
      </c>
      <c r="K82" s="9">
        <v>18</v>
      </c>
      <c r="L82" s="9">
        <v>288</v>
      </c>
      <c r="M82" s="8" t="s">
        <v>75</v>
      </c>
      <c r="N82" s="8">
        <v>0</v>
      </c>
      <c r="O82" s="8">
        <v>5</v>
      </c>
      <c r="P82" s="8">
        <v>4</v>
      </c>
      <c r="Q82" s="8" t="s">
        <v>115</v>
      </c>
      <c r="R82" s="8" t="s">
        <v>84</v>
      </c>
      <c r="S82" s="8" t="s">
        <v>85</v>
      </c>
    </row>
    <row r="83" spans="1:19" x14ac:dyDescent="0.2">
      <c r="A83" s="10" t="s">
        <v>346</v>
      </c>
      <c r="B83" s="10">
        <v>6</v>
      </c>
      <c r="C83" s="10" t="s">
        <v>153</v>
      </c>
      <c r="D83" s="10">
        <v>2</v>
      </c>
      <c r="E83" s="10" t="s">
        <v>12</v>
      </c>
      <c r="F83" s="10" t="s">
        <v>14</v>
      </c>
      <c r="G83" s="10" t="s">
        <v>347</v>
      </c>
      <c r="H83" s="10" t="s">
        <v>166</v>
      </c>
      <c r="I83" s="10" t="s">
        <v>166</v>
      </c>
      <c r="J83" s="10">
        <v>36</v>
      </c>
      <c r="K83" s="11">
        <v>25</v>
      </c>
      <c r="L83" s="11">
        <v>900</v>
      </c>
      <c r="M83" s="10" t="s">
        <v>75</v>
      </c>
      <c r="N83" s="10">
        <v>0</v>
      </c>
      <c r="O83" s="10">
        <v>5</v>
      </c>
      <c r="P83" s="10">
        <v>2</v>
      </c>
      <c r="Q83" s="10" t="s">
        <v>90</v>
      </c>
      <c r="R83" s="10" t="s">
        <v>91</v>
      </c>
      <c r="S83" s="10" t="s">
        <v>85</v>
      </c>
    </row>
    <row r="84" spans="1:19" x14ac:dyDescent="0.2">
      <c r="A84" s="8" t="s">
        <v>348</v>
      </c>
      <c r="B84" s="8">
        <v>23</v>
      </c>
      <c r="C84" s="8" t="s">
        <v>168</v>
      </c>
      <c r="D84" s="8">
        <v>10</v>
      </c>
      <c r="E84" s="8" t="s">
        <v>37</v>
      </c>
      <c r="F84" s="8" t="s">
        <v>10</v>
      </c>
      <c r="G84" s="8" t="s">
        <v>151</v>
      </c>
      <c r="H84" s="8" t="s">
        <v>337</v>
      </c>
      <c r="I84" s="8" t="s">
        <v>349</v>
      </c>
      <c r="J84" s="8">
        <v>1</v>
      </c>
      <c r="K84" s="9">
        <v>25</v>
      </c>
      <c r="L84" s="9">
        <v>25</v>
      </c>
      <c r="M84" s="8" t="s">
        <v>75</v>
      </c>
      <c r="N84" s="8">
        <v>5</v>
      </c>
      <c r="O84" s="8">
        <v>15</v>
      </c>
      <c r="P84" s="8">
        <v>2</v>
      </c>
      <c r="Q84" s="8" t="s">
        <v>90</v>
      </c>
      <c r="R84" s="8" t="s">
        <v>91</v>
      </c>
      <c r="S84" s="8" t="s">
        <v>85</v>
      </c>
    </row>
    <row r="85" spans="1:19" x14ac:dyDescent="0.2">
      <c r="A85" s="10" t="s">
        <v>350</v>
      </c>
      <c r="B85" s="10">
        <v>9</v>
      </c>
      <c r="C85" s="10" t="s">
        <v>130</v>
      </c>
      <c r="D85" s="10">
        <v>2</v>
      </c>
      <c r="E85" s="10" t="s">
        <v>12</v>
      </c>
      <c r="F85" s="10" t="s">
        <v>14</v>
      </c>
      <c r="G85" s="10" t="s">
        <v>351</v>
      </c>
      <c r="H85" s="10" t="s">
        <v>88</v>
      </c>
      <c r="I85" s="10" t="s">
        <v>88</v>
      </c>
      <c r="J85" s="10">
        <v>16</v>
      </c>
      <c r="K85" s="11">
        <v>35</v>
      </c>
      <c r="L85" s="11">
        <v>560</v>
      </c>
      <c r="M85" s="10" t="s">
        <v>75</v>
      </c>
      <c r="N85" s="10">
        <v>0</v>
      </c>
      <c r="O85" s="10">
        <v>5</v>
      </c>
      <c r="P85" s="10">
        <v>2</v>
      </c>
      <c r="Q85" s="10" t="s">
        <v>90</v>
      </c>
      <c r="R85" s="10" t="s">
        <v>91</v>
      </c>
      <c r="S85" s="10" t="s">
        <v>85</v>
      </c>
    </row>
    <row r="86" spans="1:19" x14ac:dyDescent="0.2">
      <c r="A86" s="8" t="s">
        <v>352</v>
      </c>
      <c r="B86" s="8">
        <v>11</v>
      </c>
      <c r="C86" s="8" t="s">
        <v>112</v>
      </c>
      <c r="D86" s="8">
        <v>4</v>
      </c>
      <c r="E86" s="8" t="s">
        <v>18</v>
      </c>
      <c r="F86" s="8" t="s">
        <v>20</v>
      </c>
      <c r="G86" s="8" t="s">
        <v>353</v>
      </c>
      <c r="H86" s="8" t="s">
        <v>354</v>
      </c>
      <c r="I86" s="8" t="s">
        <v>354</v>
      </c>
      <c r="J86" s="8">
        <v>31</v>
      </c>
      <c r="K86" s="9">
        <v>18</v>
      </c>
      <c r="L86" s="9">
        <v>558</v>
      </c>
      <c r="M86" s="8" t="s">
        <v>75</v>
      </c>
      <c r="N86" s="8">
        <v>0</v>
      </c>
      <c r="O86" s="8">
        <v>3</v>
      </c>
      <c r="P86" s="8">
        <v>3</v>
      </c>
      <c r="Q86" s="8" t="s">
        <v>128</v>
      </c>
      <c r="R86" s="8" t="s">
        <v>91</v>
      </c>
      <c r="S86" s="8" t="s">
        <v>85</v>
      </c>
    </row>
    <row r="87" spans="1:19" x14ac:dyDescent="0.2">
      <c r="A87" s="10" t="s">
        <v>355</v>
      </c>
      <c r="B87" s="10">
        <v>10</v>
      </c>
      <c r="C87" s="10" t="s">
        <v>275</v>
      </c>
      <c r="D87" s="10">
        <v>2</v>
      </c>
      <c r="E87" s="10" t="s">
        <v>12</v>
      </c>
      <c r="F87" s="10" t="s">
        <v>14</v>
      </c>
      <c r="G87" s="10" t="s">
        <v>356</v>
      </c>
      <c r="H87" s="10" t="s">
        <v>357</v>
      </c>
      <c r="I87" s="10" t="s">
        <v>357</v>
      </c>
      <c r="J87" s="10">
        <v>4</v>
      </c>
      <c r="K87" s="11">
        <v>45</v>
      </c>
      <c r="L87" s="11">
        <v>180</v>
      </c>
      <c r="M87" s="10" t="s">
        <v>75</v>
      </c>
      <c r="N87" s="10">
        <v>0</v>
      </c>
      <c r="O87" s="10">
        <v>5</v>
      </c>
      <c r="P87" s="10">
        <v>4</v>
      </c>
      <c r="Q87" s="10" t="s">
        <v>115</v>
      </c>
      <c r="R87" s="10" t="s">
        <v>84</v>
      </c>
      <c r="S87" s="10" t="s">
        <v>85</v>
      </c>
    </row>
    <row r="88" spans="1:19" x14ac:dyDescent="0.2">
      <c r="A88" s="8" t="s">
        <v>358</v>
      </c>
      <c r="B88" s="8">
        <v>17</v>
      </c>
      <c r="C88" s="8" t="s">
        <v>120</v>
      </c>
      <c r="D88" s="8">
        <v>6</v>
      </c>
      <c r="E88" s="8" t="s">
        <v>24</v>
      </c>
      <c r="F88" s="8" t="s">
        <v>26</v>
      </c>
      <c r="G88" s="8" t="s">
        <v>127</v>
      </c>
      <c r="H88" s="8" t="s">
        <v>359</v>
      </c>
      <c r="I88" s="8" t="s">
        <v>359</v>
      </c>
      <c r="J88" s="8">
        <v>25</v>
      </c>
      <c r="K88" s="9">
        <v>1200</v>
      </c>
      <c r="L88" s="9">
        <v>30000</v>
      </c>
      <c r="M88" s="8" t="s">
        <v>75</v>
      </c>
      <c r="N88" s="8">
        <v>0</v>
      </c>
      <c r="O88" s="8">
        <v>15</v>
      </c>
      <c r="P88" s="8">
        <v>3</v>
      </c>
      <c r="Q88" s="8" t="s">
        <v>128</v>
      </c>
      <c r="R88" s="8" t="s">
        <v>91</v>
      </c>
      <c r="S88" s="8" t="s">
        <v>85</v>
      </c>
    </row>
    <row r="89" spans="1:19" x14ac:dyDescent="0.2">
      <c r="A89" s="10" t="s">
        <v>360</v>
      </c>
      <c r="B89" s="10">
        <v>22</v>
      </c>
      <c r="C89" s="10" t="s">
        <v>216</v>
      </c>
      <c r="D89" s="10">
        <v>11</v>
      </c>
      <c r="E89" s="10" t="s">
        <v>39</v>
      </c>
      <c r="F89" s="10" t="s">
        <v>41</v>
      </c>
      <c r="G89" s="10" t="s">
        <v>142</v>
      </c>
      <c r="H89" s="10" t="s">
        <v>361</v>
      </c>
      <c r="I89" s="10" t="s">
        <v>361</v>
      </c>
      <c r="J89" s="10">
        <v>30</v>
      </c>
      <c r="K89" s="11">
        <v>350</v>
      </c>
      <c r="L89" s="11">
        <v>10500</v>
      </c>
      <c r="M89" s="10" t="s">
        <v>75</v>
      </c>
      <c r="N89" s="10">
        <v>0</v>
      </c>
      <c r="O89" s="10">
        <v>12</v>
      </c>
      <c r="P89" s="10">
        <v>5</v>
      </c>
      <c r="Q89" s="10" t="s">
        <v>83</v>
      </c>
      <c r="R89" s="10" t="s">
        <v>84</v>
      </c>
      <c r="S89" s="10" t="s">
        <v>85</v>
      </c>
    </row>
    <row r="90" spans="1:19" x14ac:dyDescent="0.2">
      <c r="A90" s="8" t="s">
        <v>362</v>
      </c>
      <c r="B90" s="8">
        <v>23</v>
      </c>
      <c r="C90" s="8" t="s">
        <v>168</v>
      </c>
      <c r="D90" s="8">
        <v>10</v>
      </c>
      <c r="E90" s="8" t="s">
        <v>37</v>
      </c>
      <c r="F90" s="8" t="s">
        <v>10</v>
      </c>
      <c r="G90" s="8" t="s">
        <v>363</v>
      </c>
      <c r="H90" s="8" t="s">
        <v>364</v>
      </c>
      <c r="I90" s="8" t="s">
        <v>364</v>
      </c>
      <c r="J90" s="8">
        <v>47</v>
      </c>
      <c r="K90" s="9">
        <v>25</v>
      </c>
      <c r="L90" s="9">
        <v>1175</v>
      </c>
      <c r="M90" s="8" t="s">
        <v>75</v>
      </c>
      <c r="N90" s="8">
        <v>0</v>
      </c>
      <c r="O90" s="8">
        <v>10</v>
      </c>
      <c r="P90" s="8">
        <v>5</v>
      </c>
      <c r="Q90" s="8" t="s">
        <v>83</v>
      </c>
      <c r="R90" s="8" t="s">
        <v>84</v>
      </c>
      <c r="S90" s="8" t="s">
        <v>85</v>
      </c>
    </row>
    <row r="91" spans="1:19" x14ac:dyDescent="0.2">
      <c r="A91" s="10" t="s">
        <v>365</v>
      </c>
      <c r="B91" s="10">
        <v>9</v>
      </c>
      <c r="C91" s="10" t="s">
        <v>130</v>
      </c>
      <c r="D91" s="10">
        <v>2</v>
      </c>
      <c r="E91" s="10" t="s">
        <v>12</v>
      </c>
      <c r="F91" s="10" t="s">
        <v>14</v>
      </c>
      <c r="G91" s="10" t="s">
        <v>366</v>
      </c>
      <c r="H91" s="10" t="s">
        <v>367</v>
      </c>
      <c r="I91" s="10" t="s">
        <v>367</v>
      </c>
      <c r="J91" s="10">
        <v>32</v>
      </c>
      <c r="K91" s="11">
        <v>35</v>
      </c>
      <c r="L91" s="11">
        <v>1120</v>
      </c>
      <c r="M91" s="10" t="s">
        <v>75</v>
      </c>
      <c r="N91" s="10">
        <v>0</v>
      </c>
      <c r="O91" s="10">
        <v>5</v>
      </c>
      <c r="P91" s="10">
        <v>10</v>
      </c>
      <c r="Q91" s="10" t="s">
        <v>161</v>
      </c>
      <c r="R91" s="10" t="s">
        <v>77</v>
      </c>
      <c r="S91" s="10" t="s">
        <v>78</v>
      </c>
    </row>
    <row r="92" spans="1:19" x14ac:dyDescent="0.2">
      <c r="A92" s="8" t="s">
        <v>368</v>
      </c>
      <c r="B92" s="8">
        <v>8</v>
      </c>
      <c r="C92" s="8" t="s">
        <v>369</v>
      </c>
      <c r="D92" s="8">
        <v>2</v>
      </c>
      <c r="E92" s="8" t="s">
        <v>12</v>
      </c>
      <c r="F92" s="8" t="s">
        <v>14</v>
      </c>
      <c r="G92" s="8" t="s">
        <v>126</v>
      </c>
      <c r="H92" s="8" t="s">
        <v>127</v>
      </c>
      <c r="I92" s="8" t="s">
        <v>186</v>
      </c>
      <c r="J92" s="8">
        <v>4</v>
      </c>
      <c r="K92" s="9">
        <v>12</v>
      </c>
      <c r="L92" s="9">
        <v>48</v>
      </c>
      <c r="M92" s="8" t="s">
        <v>75</v>
      </c>
      <c r="N92" s="8">
        <v>2</v>
      </c>
      <c r="O92" s="8">
        <v>7</v>
      </c>
      <c r="P92" s="8">
        <v>3</v>
      </c>
      <c r="Q92" s="8" t="s">
        <v>128</v>
      </c>
      <c r="R92" s="8" t="s">
        <v>91</v>
      </c>
      <c r="S92" s="8" t="s">
        <v>85</v>
      </c>
    </row>
    <row r="93" spans="1:19" x14ac:dyDescent="0.2">
      <c r="A93" s="10" t="s">
        <v>370</v>
      </c>
      <c r="B93" s="10">
        <v>15</v>
      </c>
      <c r="C93" s="10" t="s">
        <v>176</v>
      </c>
      <c r="D93" s="10">
        <v>14</v>
      </c>
      <c r="E93" s="10" t="s">
        <v>49</v>
      </c>
      <c r="F93" s="10" t="s">
        <v>20</v>
      </c>
      <c r="G93" s="10" t="s">
        <v>371</v>
      </c>
      <c r="H93" s="10" t="s">
        <v>160</v>
      </c>
      <c r="I93" s="10" t="s">
        <v>154</v>
      </c>
      <c r="J93" s="10">
        <v>4</v>
      </c>
      <c r="K93" s="11">
        <v>15</v>
      </c>
      <c r="L93" s="11">
        <v>60</v>
      </c>
      <c r="M93" s="10" t="s">
        <v>75</v>
      </c>
      <c r="N93" s="10">
        <v>17</v>
      </c>
      <c r="O93" s="10">
        <v>20</v>
      </c>
      <c r="P93" s="10">
        <v>10</v>
      </c>
      <c r="Q93" s="10" t="s">
        <v>161</v>
      </c>
      <c r="R93" s="10" t="s">
        <v>77</v>
      </c>
      <c r="S93" s="10" t="s">
        <v>78</v>
      </c>
    </row>
    <row r="94" spans="1:19" x14ac:dyDescent="0.2">
      <c r="A94" s="8" t="s">
        <v>372</v>
      </c>
      <c r="B94" s="8">
        <v>22</v>
      </c>
      <c r="C94" s="8" t="s">
        <v>216</v>
      </c>
      <c r="D94" s="8">
        <v>11</v>
      </c>
      <c r="E94" s="8" t="s">
        <v>39</v>
      </c>
      <c r="F94" s="8" t="s">
        <v>41</v>
      </c>
      <c r="G94" s="8" t="s">
        <v>373</v>
      </c>
      <c r="H94" s="8" t="s">
        <v>131</v>
      </c>
      <c r="I94" s="8" t="s">
        <v>132</v>
      </c>
      <c r="J94" s="8">
        <v>31</v>
      </c>
      <c r="K94" s="9">
        <v>350</v>
      </c>
      <c r="L94" s="9">
        <v>10850</v>
      </c>
      <c r="M94" s="8" t="s">
        <v>75</v>
      </c>
      <c r="N94" s="8">
        <v>5</v>
      </c>
      <c r="O94" s="8">
        <v>17</v>
      </c>
      <c r="P94" s="8">
        <v>6</v>
      </c>
      <c r="Q94" s="8" t="s">
        <v>134</v>
      </c>
      <c r="R94" s="8" t="s">
        <v>84</v>
      </c>
      <c r="S94" s="8" t="s">
        <v>85</v>
      </c>
    </row>
    <row r="95" spans="1:19" x14ac:dyDescent="0.2">
      <c r="A95" s="10" t="s">
        <v>374</v>
      </c>
      <c r="B95" s="10">
        <v>28</v>
      </c>
      <c r="C95" s="10" t="s">
        <v>71</v>
      </c>
      <c r="D95" s="10">
        <v>8</v>
      </c>
      <c r="E95" s="10" t="s">
        <v>31</v>
      </c>
      <c r="F95" s="10" t="s">
        <v>33</v>
      </c>
      <c r="G95" s="10" t="s">
        <v>375</v>
      </c>
      <c r="H95" s="10" t="s">
        <v>304</v>
      </c>
      <c r="I95" s="10" t="s">
        <v>304</v>
      </c>
      <c r="J95" s="10">
        <v>34</v>
      </c>
      <c r="K95" s="11">
        <v>120</v>
      </c>
      <c r="L95" s="11">
        <v>4080</v>
      </c>
      <c r="M95" s="10" t="s">
        <v>75</v>
      </c>
      <c r="N95" s="10">
        <v>0</v>
      </c>
      <c r="O95" s="10">
        <v>7</v>
      </c>
      <c r="P95" s="10">
        <v>9</v>
      </c>
      <c r="Q95" s="10" t="s">
        <v>221</v>
      </c>
      <c r="R95" s="10" t="s">
        <v>139</v>
      </c>
      <c r="S95" s="10" t="s">
        <v>78</v>
      </c>
    </row>
    <row r="96" spans="1:19" x14ac:dyDescent="0.2">
      <c r="A96" s="8" t="s">
        <v>376</v>
      </c>
      <c r="B96" s="8">
        <v>27</v>
      </c>
      <c r="C96" s="8" t="s">
        <v>97</v>
      </c>
      <c r="D96" s="8">
        <v>8</v>
      </c>
      <c r="E96" s="8" t="s">
        <v>31</v>
      </c>
      <c r="F96" s="8" t="s">
        <v>33</v>
      </c>
      <c r="G96" s="8" t="s">
        <v>377</v>
      </c>
      <c r="H96" s="8" t="s">
        <v>290</v>
      </c>
      <c r="I96" s="8" t="s">
        <v>378</v>
      </c>
      <c r="J96" s="8">
        <v>6</v>
      </c>
      <c r="K96" s="9">
        <v>40</v>
      </c>
      <c r="L96" s="9">
        <v>240</v>
      </c>
      <c r="M96" s="8" t="s">
        <v>75</v>
      </c>
      <c r="N96" s="8">
        <v>5</v>
      </c>
      <c r="O96" s="8">
        <v>12</v>
      </c>
      <c r="P96" s="8">
        <v>3</v>
      </c>
      <c r="Q96" s="8" t="s">
        <v>128</v>
      </c>
      <c r="R96" s="8" t="s">
        <v>91</v>
      </c>
      <c r="S96" s="8" t="s">
        <v>85</v>
      </c>
    </row>
    <row r="97" spans="1:19" x14ac:dyDescent="0.2">
      <c r="A97" s="10" t="s">
        <v>379</v>
      </c>
      <c r="B97" s="10">
        <v>16</v>
      </c>
      <c r="C97" s="10" t="s">
        <v>201</v>
      </c>
      <c r="D97" s="10">
        <v>6</v>
      </c>
      <c r="E97" s="10" t="s">
        <v>24</v>
      </c>
      <c r="F97" s="10" t="s">
        <v>26</v>
      </c>
      <c r="G97" s="10" t="s">
        <v>291</v>
      </c>
      <c r="H97" s="10" t="s">
        <v>380</v>
      </c>
      <c r="I97" s="10" t="s">
        <v>199</v>
      </c>
      <c r="J97" s="10">
        <v>44</v>
      </c>
      <c r="K97" s="11">
        <v>850</v>
      </c>
      <c r="L97" s="11">
        <v>37400</v>
      </c>
      <c r="M97" s="10" t="s">
        <v>75</v>
      </c>
      <c r="N97" s="10">
        <v>1</v>
      </c>
      <c r="O97" s="10">
        <v>16</v>
      </c>
      <c r="P97" s="10">
        <v>4</v>
      </c>
      <c r="Q97" s="10" t="s">
        <v>115</v>
      </c>
      <c r="R97" s="10" t="s">
        <v>84</v>
      </c>
      <c r="S97" s="10" t="s">
        <v>85</v>
      </c>
    </row>
    <row r="98" spans="1:19" x14ac:dyDescent="0.2">
      <c r="A98" s="8" t="s">
        <v>381</v>
      </c>
      <c r="B98" s="8">
        <v>9</v>
      </c>
      <c r="C98" s="8" t="s">
        <v>130</v>
      </c>
      <c r="D98" s="8">
        <v>2</v>
      </c>
      <c r="E98" s="8" t="s">
        <v>12</v>
      </c>
      <c r="F98" s="8" t="s">
        <v>14</v>
      </c>
      <c r="G98" s="8" t="s">
        <v>315</v>
      </c>
      <c r="H98" s="8" t="s">
        <v>81</v>
      </c>
      <c r="I98" s="8" t="s">
        <v>81</v>
      </c>
      <c r="J98" s="8">
        <v>37</v>
      </c>
      <c r="K98" s="9">
        <v>35</v>
      </c>
      <c r="L98" s="9">
        <v>1295</v>
      </c>
      <c r="M98" s="8" t="s">
        <v>75</v>
      </c>
      <c r="N98" s="8">
        <v>0</v>
      </c>
      <c r="O98" s="8">
        <v>5</v>
      </c>
      <c r="P98" s="8">
        <v>4</v>
      </c>
      <c r="Q98" s="8" t="s">
        <v>115</v>
      </c>
      <c r="R98" s="8" t="s">
        <v>84</v>
      </c>
      <c r="S98" s="8" t="s">
        <v>85</v>
      </c>
    </row>
    <row r="99" spans="1:19" x14ac:dyDescent="0.2">
      <c r="A99" s="10" t="s">
        <v>382</v>
      </c>
      <c r="B99" s="10">
        <v>6</v>
      </c>
      <c r="C99" s="10" t="s">
        <v>153</v>
      </c>
      <c r="D99" s="10">
        <v>2</v>
      </c>
      <c r="E99" s="10" t="s">
        <v>12</v>
      </c>
      <c r="F99" s="10" t="s">
        <v>14</v>
      </c>
      <c r="G99" s="10" t="s">
        <v>383</v>
      </c>
      <c r="H99" s="10" t="s">
        <v>307</v>
      </c>
      <c r="I99" s="10" t="s">
        <v>307</v>
      </c>
      <c r="J99" s="10">
        <v>3</v>
      </c>
      <c r="K99" s="11">
        <v>25</v>
      </c>
      <c r="L99" s="11">
        <v>75</v>
      </c>
      <c r="M99" s="10" t="s">
        <v>75</v>
      </c>
      <c r="N99" s="10">
        <v>0</v>
      </c>
      <c r="O99" s="10">
        <v>5</v>
      </c>
      <c r="P99" s="10">
        <v>5</v>
      </c>
      <c r="Q99" s="10" t="s">
        <v>83</v>
      </c>
      <c r="R99" s="10" t="s">
        <v>84</v>
      </c>
      <c r="S99" s="10" t="s">
        <v>85</v>
      </c>
    </row>
    <row r="100" spans="1:19" x14ac:dyDescent="0.2">
      <c r="A100" s="8" t="s">
        <v>384</v>
      </c>
      <c r="B100" s="8">
        <v>7</v>
      </c>
      <c r="C100" s="8" t="s">
        <v>125</v>
      </c>
      <c r="D100" s="8">
        <v>2</v>
      </c>
      <c r="E100" s="8" t="s">
        <v>12</v>
      </c>
      <c r="F100" s="8" t="s">
        <v>14</v>
      </c>
      <c r="G100" s="8" t="s">
        <v>293</v>
      </c>
      <c r="H100" s="8" t="s">
        <v>385</v>
      </c>
      <c r="I100" s="8" t="s">
        <v>183</v>
      </c>
      <c r="J100" s="8">
        <v>38</v>
      </c>
      <c r="K100" s="9">
        <v>18</v>
      </c>
      <c r="L100" s="9">
        <v>684</v>
      </c>
      <c r="M100" s="8" t="s">
        <v>75</v>
      </c>
      <c r="N100" s="8">
        <v>6</v>
      </c>
      <c r="O100" s="8">
        <v>11</v>
      </c>
      <c r="P100" s="8">
        <v>11</v>
      </c>
      <c r="Q100" s="8" t="s">
        <v>76</v>
      </c>
      <c r="R100" s="8" t="s">
        <v>77</v>
      </c>
      <c r="S100" s="8" t="s">
        <v>78</v>
      </c>
    </row>
    <row r="101" spans="1:19" x14ac:dyDescent="0.2">
      <c r="A101" s="10" t="s">
        <v>386</v>
      </c>
      <c r="B101" s="10">
        <v>23</v>
      </c>
      <c r="C101" s="10" t="s">
        <v>168</v>
      </c>
      <c r="D101" s="10">
        <v>10</v>
      </c>
      <c r="E101" s="10" t="s">
        <v>37</v>
      </c>
      <c r="F101" s="10" t="s">
        <v>10</v>
      </c>
      <c r="G101" s="10" t="s">
        <v>367</v>
      </c>
      <c r="H101" s="10" t="s">
        <v>160</v>
      </c>
      <c r="I101" s="10" t="s">
        <v>160</v>
      </c>
      <c r="J101" s="10">
        <v>17</v>
      </c>
      <c r="K101" s="11">
        <v>25</v>
      </c>
      <c r="L101" s="11">
        <v>425</v>
      </c>
      <c r="M101" s="10" t="s">
        <v>75</v>
      </c>
      <c r="N101" s="10">
        <v>0</v>
      </c>
      <c r="O101" s="10">
        <v>10</v>
      </c>
      <c r="P101" s="10">
        <v>10</v>
      </c>
      <c r="Q101" s="10" t="s">
        <v>161</v>
      </c>
      <c r="R101" s="10" t="s">
        <v>77</v>
      </c>
      <c r="S101" s="10" t="s">
        <v>78</v>
      </c>
    </row>
    <row r="102" spans="1:19" x14ac:dyDescent="0.2">
      <c r="A102" s="8" t="s">
        <v>387</v>
      </c>
      <c r="B102" s="8">
        <v>30</v>
      </c>
      <c r="C102" s="8" t="s">
        <v>235</v>
      </c>
      <c r="D102" s="8">
        <v>3</v>
      </c>
      <c r="E102" s="8" t="s">
        <v>16</v>
      </c>
      <c r="F102" s="8" t="s">
        <v>14</v>
      </c>
      <c r="G102" s="8" t="s">
        <v>388</v>
      </c>
      <c r="H102" s="8" t="s">
        <v>356</v>
      </c>
      <c r="I102" s="8" t="s">
        <v>356</v>
      </c>
      <c r="J102" s="8">
        <v>21</v>
      </c>
      <c r="K102" s="9">
        <v>18</v>
      </c>
      <c r="L102" s="9">
        <v>378</v>
      </c>
      <c r="M102" s="8" t="s">
        <v>75</v>
      </c>
      <c r="N102" s="8">
        <v>0</v>
      </c>
      <c r="O102" s="8">
        <v>5</v>
      </c>
      <c r="P102" s="8">
        <v>4</v>
      </c>
      <c r="Q102" s="8" t="s">
        <v>115</v>
      </c>
      <c r="R102" s="8" t="s">
        <v>84</v>
      </c>
      <c r="S102" s="8" t="s">
        <v>85</v>
      </c>
    </row>
    <row r="103" spans="1:19" x14ac:dyDescent="0.2">
      <c r="A103" s="10" t="s">
        <v>389</v>
      </c>
      <c r="B103" s="10">
        <v>24</v>
      </c>
      <c r="C103" s="10" t="s">
        <v>149</v>
      </c>
      <c r="D103" s="10">
        <v>10</v>
      </c>
      <c r="E103" s="10" t="s">
        <v>37</v>
      </c>
      <c r="F103" s="10" t="s">
        <v>10</v>
      </c>
      <c r="G103" s="10" t="s">
        <v>276</v>
      </c>
      <c r="H103" s="10" t="s">
        <v>82</v>
      </c>
      <c r="I103" s="10" t="s">
        <v>82</v>
      </c>
      <c r="J103" s="10">
        <v>9</v>
      </c>
      <c r="K103" s="11">
        <v>380</v>
      </c>
      <c r="L103" s="11">
        <v>3420</v>
      </c>
      <c r="M103" s="10" t="s">
        <v>75</v>
      </c>
      <c r="N103" s="10">
        <v>0</v>
      </c>
      <c r="O103" s="10">
        <v>10</v>
      </c>
      <c r="P103" s="10">
        <v>5</v>
      </c>
      <c r="Q103" s="10" t="s">
        <v>83</v>
      </c>
      <c r="R103" s="10" t="s">
        <v>84</v>
      </c>
      <c r="S103" s="10" t="s">
        <v>85</v>
      </c>
    </row>
    <row r="104" spans="1:19" x14ac:dyDescent="0.2">
      <c r="A104" s="8" t="s">
        <v>390</v>
      </c>
      <c r="B104" s="8">
        <v>29</v>
      </c>
      <c r="C104" s="8" t="s">
        <v>225</v>
      </c>
      <c r="D104" s="8">
        <v>3</v>
      </c>
      <c r="E104" s="8" t="s">
        <v>16</v>
      </c>
      <c r="F104" s="8" t="s">
        <v>14</v>
      </c>
      <c r="G104" s="8" t="s">
        <v>164</v>
      </c>
      <c r="H104" s="8" t="s">
        <v>302</v>
      </c>
      <c r="I104" s="8" t="s">
        <v>302</v>
      </c>
      <c r="J104" s="8">
        <v>30</v>
      </c>
      <c r="K104" s="9">
        <v>22</v>
      </c>
      <c r="L104" s="9">
        <v>660</v>
      </c>
      <c r="M104" s="8" t="s">
        <v>75</v>
      </c>
      <c r="N104" s="8">
        <v>0</v>
      </c>
      <c r="O104" s="8">
        <v>5</v>
      </c>
      <c r="P104" s="8">
        <v>12</v>
      </c>
      <c r="Q104" s="8" t="s">
        <v>123</v>
      </c>
      <c r="R104" s="8" t="s">
        <v>77</v>
      </c>
      <c r="S104" s="8" t="s">
        <v>78</v>
      </c>
    </row>
    <row r="105" spans="1:19" x14ac:dyDescent="0.2">
      <c r="A105" s="10" t="s">
        <v>391</v>
      </c>
      <c r="B105" s="10">
        <v>15</v>
      </c>
      <c r="C105" s="10" t="s">
        <v>176</v>
      </c>
      <c r="D105" s="10">
        <v>14</v>
      </c>
      <c r="E105" s="10" t="s">
        <v>49</v>
      </c>
      <c r="F105" s="10" t="s">
        <v>20</v>
      </c>
      <c r="G105" s="10" t="s">
        <v>195</v>
      </c>
      <c r="H105" s="10" t="s">
        <v>196</v>
      </c>
      <c r="I105" s="10" t="s">
        <v>392</v>
      </c>
      <c r="J105" s="10">
        <v>1</v>
      </c>
      <c r="K105" s="11">
        <v>15</v>
      </c>
      <c r="L105" s="11">
        <v>15</v>
      </c>
      <c r="M105" s="10" t="s">
        <v>75</v>
      </c>
      <c r="N105" s="10">
        <v>2</v>
      </c>
      <c r="O105" s="10">
        <v>5</v>
      </c>
      <c r="P105" s="10">
        <v>6</v>
      </c>
      <c r="Q105" s="10" t="s">
        <v>134</v>
      </c>
      <c r="R105" s="10" t="s">
        <v>84</v>
      </c>
      <c r="S105" s="10" t="s">
        <v>85</v>
      </c>
    </row>
    <row r="106" spans="1:19" x14ac:dyDescent="0.2">
      <c r="A106" s="8" t="s">
        <v>393</v>
      </c>
      <c r="B106" s="8">
        <v>9</v>
      </c>
      <c r="C106" s="8" t="s">
        <v>130</v>
      </c>
      <c r="D106" s="8">
        <v>2</v>
      </c>
      <c r="E106" s="8" t="s">
        <v>12</v>
      </c>
      <c r="F106" s="8" t="s">
        <v>14</v>
      </c>
      <c r="G106" s="8" t="s">
        <v>207</v>
      </c>
      <c r="H106" s="8" t="s">
        <v>232</v>
      </c>
      <c r="I106" s="8" t="s">
        <v>232</v>
      </c>
      <c r="J106" s="8">
        <v>37</v>
      </c>
      <c r="K106" s="9">
        <v>35</v>
      </c>
      <c r="L106" s="9">
        <v>1295</v>
      </c>
      <c r="M106" s="8" t="s">
        <v>75</v>
      </c>
      <c r="N106" s="8">
        <v>0</v>
      </c>
      <c r="O106" s="8">
        <v>5</v>
      </c>
      <c r="P106" s="8">
        <v>8</v>
      </c>
      <c r="Q106" s="8" t="s">
        <v>147</v>
      </c>
      <c r="R106" s="8" t="s">
        <v>139</v>
      </c>
      <c r="S106" s="8" t="s">
        <v>78</v>
      </c>
    </row>
    <row r="107" spans="1:19" x14ac:dyDescent="0.2">
      <c r="A107" s="10" t="s">
        <v>394</v>
      </c>
      <c r="B107" s="10">
        <v>8</v>
      </c>
      <c r="C107" s="10" t="s">
        <v>369</v>
      </c>
      <c r="D107" s="10">
        <v>2</v>
      </c>
      <c r="E107" s="10" t="s">
        <v>12</v>
      </c>
      <c r="F107" s="10" t="s">
        <v>14</v>
      </c>
      <c r="G107" s="10" t="s">
        <v>95</v>
      </c>
      <c r="H107" s="10" t="s">
        <v>395</v>
      </c>
      <c r="I107" s="10" t="s">
        <v>341</v>
      </c>
      <c r="J107" s="10">
        <v>33</v>
      </c>
      <c r="K107" s="11">
        <v>12</v>
      </c>
      <c r="L107" s="11">
        <v>396</v>
      </c>
      <c r="M107" s="10" t="s">
        <v>75</v>
      </c>
      <c r="N107" s="10">
        <v>2</v>
      </c>
      <c r="O107" s="10">
        <v>7</v>
      </c>
      <c r="P107" s="10">
        <v>2</v>
      </c>
      <c r="Q107" s="10" t="s">
        <v>90</v>
      </c>
      <c r="R107" s="10" t="s">
        <v>91</v>
      </c>
      <c r="S107" s="10" t="s">
        <v>85</v>
      </c>
    </row>
    <row r="108" spans="1:19" x14ac:dyDescent="0.2">
      <c r="A108" s="8" t="s">
        <v>396</v>
      </c>
      <c r="B108" s="8">
        <v>14</v>
      </c>
      <c r="C108" s="8" t="s">
        <v>157</v>
      </c>
      <c r="D108" s="8">
        <v>4</v>
      </c>
      <c r="E108" s="8" t="s">
        <v>18</v>
      </c>
      <c r="F108" s="8" t="s">
        <v>20</v>
      </c>
      <c r="G108" s="8" t="s">
        <v>142</v>
      </c>
      <c r="H108" s="8" t="s">
        <v>143</v>
      </c>
      <c r="I108" s="8" t="s">
        <v>252</v>
      </c>
      <c r="J108" s="8">
        <v>5</v>
      </c>
      <c r="K108" s="9">
        <v>30</v>
      </c>
      <c r="L108" s="9">
        <v>150</v>
      </c>
      <c r="M108" s="8" t="s">
        <v>75</v>
      </c>
      <c r="N108" s="8">
        <v>3</v>
      </c>
      <c r="O108" s="8">
        <v>6</v>
      </c>
      <c r="P108" s="8">
        <v>5</v>
      </c>
      <c r="Q108" s="8" t="s">
        <v>83</v>
      </c>
      <c r="R108" s="8" t="s">
        <v>84</v>
      </c>
      <c r="S108" s="8" t="s">
        <v>85</v>
      </c>
    </row>
    <row r="109" spans="1:19" x14ac:dyDescent="0.2">
      <c r="A109" s="10" t="s">
        <v>397</v>
      </c>
      <c r="B109" s="10">
        <v>29</v>
      </c>
      <c r="C109" s="10" t="s">
        <v>225</v>
      </c>
      <c r="D109" s="10">
        <v>3</v>
      </c>
      <c r="E109" s="10" t="s">
        <v>16</v>
      </c>
      <c r="F109" s="10" t="s">
        <v>14</v>
      </c>
      <c r="G109" s="10" t="s">
        <v>81</v>
      </c>
      <c r="H109" s="10" t="s">
        <v>306</v>
      </c>
      <c r="I109" s="10" t="s">
        <v>306</v>
      </c>
      <c r="J109" s="10">
        <v>11</v>
      </c>
      <c r="K109" s="11">
        <v>22</v>
      </c>
      <c r="L109" s="11">
        <v>242</v>
      </c>
      <c r="M109" s="10" t="s">
        <v>75</v>
      </c>
      <c r="N109" s="10">
        <v>0</v>
      </c>
      <c r="O109" s="10">
        <v>5</v>
      </c>
      <c r="P109" s="10">
        <v>5</v>
      </c>
      <c r="Q109" s="10" t="s">
        <v>83</v>
      </c>
      <c r="R109" s="10" t="s">
        <v>84</v>
      </c>
      <c r="S109" s="10" t="s">
        <v>85</v>
      </c>
    </row>
    <row r="110" spans="1:19" x14ac:dyDescent="0.2">
      <c r="A110" s="8" t="s">
        <v>398</v>
      </c>
      <c r="B110" s="8">
        <v>26</v>
      </c>
      <c r="C110" s="8" t="s">
        <v>282</v>
      </c>
      <c r="D110" s="8">
        <v>8</v>
      </c>
      <c r="E110" s="8" t="s">
        <v>31</v>
      </c>
      <c r="F110" s="8" t="s">
        <v>33</v>
      </c>
      <c r="G110" s="8" t="s">
        <v>399</v>
      </c>
      <c r="H110" s="8" t="s">
        <v>400</v>
      </c>
      <c r="I110" s="8" t="s">
        <v>400</v>
      </c>
      <c r="J110" s="8">
        <v>46</v>
      </c>
      <c r="K110" s="9">
        <v>85</v>
      </c>
      <c r="L110" s="9">
        <v>3910</v>
      </c>
      <c r="M110" s="8" t="s">
        <v>75</v>
      </c>
      <c r="N110" s="8">
        <v>0</v>
      </c>
      <c r="O110" s="8">
        <v>7</v>
      </c>
      <c r="P110" s="8">
        <v>8</v>
      </c>
      <c r="Q110" s="8" t="s">
        <v>147</v>
      </c>
      <c r="R110" s="8" t="s">
        <v>139</v>
      </c>
      <c r="S110" s="8" t="s">
        <v>78</v>
      </c>
    </row>
    <row r="111" spans="1:19" x14ac:dyDescent="0.2">
      <c r="A111" s="10" t="s">
        <v>401</v>
      </c>
      <c r="B111" s="10">
        <v>18</v>
      </c>
      <c r="C111" s="10" t="s">
        <v>103</v>
      </c>
      <c r="D111" s="10">
        <v>6</v>
      </c>
      <c r="E111" s="10" t="s">
        <v>24</v>
      </c>
      <c r="F111" s="10" t="s">
        <v>26</v>
      </c>
      <c r="G111" s="10" t="s">
        <v>402</v>
      </c>
      <c r="H111" s="10" t="s">
        <v>403</v>
      </c>
      <c r="I111" s="10" t="s">
        <v>403</v>
      </c>
      <c r="J111" s="10">
        <v>42</v>
      </c>
      <c r="K111" s="11">
        <v>900</v>
      </c>
      <c r="L111" s="11">
        <v>37800</v>
      </c>
      <c r="M111" s="10" t="s">
        <v>75</v>
      </c>
      <c r="N111" s="10">
        <v>0</v>
      </c>
      <c r="O111" s="10">
        <v>15</v>
      </c>
      <c r="P111" s="10">
        <v>6</v>
      </c>
      <c r="Q111" s="10" t="s">
        <v>134</v>
      </c>
      <c r="R111" s="10" t="s">
        <v>84</v>
      </c>
      <c r="S111" s="10" t="s">
        <v>85</v>
      </c>
    </row>
    <row r="112" spans="1:19" x14ac:dyDescent="0.2">
      <c r="A112" s="8" t="s">
        <v>404</v>
      </c>
      <c r="B112" s="8">
        <v>28</v>
      </c>
      <c r="C112" s="8" t="s">
        <v>71</v>
      </c>
      <c r="D112" s="8">
        <v>8</v>
      </c>
      <c r="E112" s="8" t="s">
        <v>31</v>
      </c>
      <c r="F112" s="8" t="s">
        <v>33</v>
      </c>
      <c r="G112" s="8" t="s">
        <v>405</v>
      </c>
      <c r="H112" s="8" t="s">
        <v>406</v>
      </c>
      <c r="I112" s="8" t="s">
        <v>366</v>
      </c>
      <c r="J112" s="8">
        <v>36</v>
      </c>
      <c r="K112" s="9">
        <v>120</v>
      </c>
      <c r="L112" s="9">
        <v>4320</v>
      </c>
      <c r="M112" s="8" t="s">
        <v>75</v>
      </c>
      <c r="N112" s="8">
        <v>7</v>
      </c>
      <c r="O112" s="8">
        <v>14</v>
      </c>
      <c r="P112" s="8">
        <v>9</v>
      </c>
      <c r="Q112" s="8" t="s">
        <v>221</v>
      </c>
      <c r="R112" s="8" t="s">
        <v>139</v>
      </c>
      <c r="S112" s="8" t="s">
        <v>78</v>
      </c>
    </row>
    <row r="113" spans="1:19" x14ac:dyDescent="0.2">
      <c r="A113" s="10" t="s">
        <v>407</v>
      </c>
      <c r="B113" s="10">
        <v>18</v>
      </c>
      <c r="C113" s="10" t="s">
        <v>103</v>
      </c>
      <c r="D113" s="10">
        <v>6</v>
      </c>
      <c r="E113" s="10" t="s">
        <v>24</v>
      </c>
      <c r="F113" s="10" t="s">
        <v>26</v>
      </c>
      <c r="G113" s="10" t="s">
        <v>408</v>
      </c>
      <c r="H113" s="10" t="s">
        <v>409</v>
      </c>
      <c r="I113" s="10" t="s">
        <v>409</v>
      </c>
      <c r="J113" s="10">
        <v>7</v>
      </c>
      <c r="K113" s="11">
        <v>900</v>
      </c>
      <c r="L113" s="11">
        <v>6300</v>
      </c>
      <c r="M113" s="10" t="s">
        <v>75</v>
      </c>
      <c r="N113" s="10">
        <v>0</v>
      </c>
      <c r="O113" s="10">
        <v>15</v>
      </c>
      <c r="P113" s="10">
        <v>6</v>
      </c>
      <c r="Q113" s="10" t="s">
        <v>134</v>
      </c>
      <c r="R113" s="10" t="s">
        <v>84</v>
      </c>
      <c r="S113" s="10" t="s">
        <v>85</v>
      </c>
    </row>
    <row r="114" spans="1:19" x14ac:dyDescent="0.2">
      <c r="A114" s="8" t="s">
        <v>410</v>
      </c>
      <c r="B114" s="8">
        <v>11</v>
      </c>
      <c r="C114" s="8" t="s">
        <v>112</v>
      </c>
      <c r="D114" s="8">
        <v>4</v>
      </c>
      <c r="E114" s="8" t="s">
        <v>18</v>
      </c>
      <c r="F114" s="8" t="s">
        <v>20</v>
      </c>
      <c r="G114" s="8" t="s">
        <v>411</v>
      </c>
      <c r="H114" s="8" t="s">
        <v>412</v>
      </c>
      <c r="I114" s="8" t="s">
        <v>412</v>
      </c>
      <c r="J114" s="8">
        <v>7</v>
      </c>
      <c r="K114" s="9">
        <v>18</v>
      </c>
      <c r="L114" s="9">
        <v>126</v>
      </c>
      <c r="M114" s="8" t="s">
        <v>75</v>
      </c>
      <c r="N114" s="8">
        <v>0</v>
      </c>
      <c r="O114" s="8">
        <v>3</v>
      </c>
      <c r="P114" s="8">
        <v>3</v>
      </c>
      <c r="Q114" s="8" t="s">
        <v>128</v>
      </c>
      <c r="R114" s="8" t="s">
        <v>91</v>
      </c>
      <c r="S114" s="8" t="s">
        <v>85</v>
      </c>
    </row>
    <row r="115" spans="1:19" x14ac:dyDescent="0.2">
      <c r="A115" s="10" t="s">
        <v>413</v>
      </c>
      <c r="B115" s="10">
        <v>21</v>
      </c>
      <c r="C115" s="10" t="s">
        <v>108</v>
      </c>
      <c r="D115" s="10">
        <v>11</v>
      </c>
      <c r="E115" s="10" t="s">
        <v>39</v>
      </c>
      <c r="F115" s="10" t="s">
        <v>41</v>
      </c>
      <c r="G115" s="10" t="s">
        <v>309</v>
      </c>
      <c r="H115" s="10" t="s">
        <v>158</v>
      </c>
      <c r="I115" s="10" t="s">
        <v>159</v>
      </c>
      <c r="J115" s="10">
        <v>39</v>
      </c>
      <c r="K115" s="11">
        <v>2800</v>
      </c>
      <c r="L115" s="11">
        <v>109200</v>
      </c>
      <c r="M115" s="10" t="s">
        <v>75</v>
      </c>
      <c r="N115" s="10">
        <v>3</v>
      </c>
      <c r="O115" s="10">
        <v>15</v>
      </c>
      <c r="P115" s="10">
        <v>10</v>
      </c>
      <c r="Q115" s="10" t="s">
        <v>161</v>
      </c>
      <c r="R115" s="10" t="s">
        <v>77</v>
      </c>
      <c r="S115" s="10" t="s">
        <v>78</v>
      </c>
    </row>
    <row r="116" spans="1:19" x14ac:dyDescent="0.2">
      <c r="A116" s="8" t="s">
        <v>414</v>
      </c>
      <c r="B116" s="8">
        <v>10</v>
      </c>
      <c r="C116" s="8" t="s">
        <v>275</v>
      </c>
      <c r="D116" s="8">
        <v>2</v>
      </c>
      <c r="E116" s="8" t="s">
        <v>12</v>
      </c>
      <c r="F116" s="8" t="s">
        <v>14</v>
      </c>
      <c r="G116" s="8" t="s">
        <v>300</v>
      </c>
      <c r="H116" s="8" t="s">
        <v>113</v>
      </c>
      <c r="I116" s="8" t="s">
        <v>113</v>
      </c>
      <c r="J116" s="8">
        <v>14</v>
      </c>
      <c r="K116" s="9">
        <v>45</v>
      </c>
      <c r="L116" s="9">
        <v>630</v>
      </c>
      <c r="M116" s="8" t="s">
        <v>75</v>
      </c>
      <c r="N116" s="8">
        <v>0</v>
      </c>
      <c r="O116" s="8">
        <v>5</v>
      </c>
      <c r="P116" s="8">
        <v>4</v>
      </c>
      <c r="Q116" s="8" t="s">
        <v>115</v>
      </c>
      <c r="R116" s="8" t="s">
        <v>84</v>
      </c>
      <c r="S116" s="8" t="s">
        <v>85</v>
      </c>
    </row>
    <row r="117" spans="1:19" x14ac:dyDescent="0.2">
      <c r="A117" s="10" t="s">
        <v>415</v>
      </c>
      <c r="B117" s="10">
        <v>15</v>
      </c>
      <c r="C117" s="10" t="s">
        <v>176</v>
      </c>
      <c r="D117" s="10">
        <v>14</v>
      </c>
      <c r="E117" s="10" t="s">
        <v>49</v>
      </c>
      <c r="F117" s="10" t="s">
        <v>20</v>
      </c>
      <c r="G117" s="10" t="s">
        <v>416</v>
      </c>
      <c r="H117" s="10" t="s">
        <v>178</v>
      </c>
      <c r="I117" s="10" t="s">
        <v>417</v>
      </c>
      <c r="J117" s="10">
        <v>33</v>
      </c>
      <c r="K117" s="11">
        <v>15</v>
      </c>
      <c r="L117" s="11">
        <v>495</v>
      </c>
      <c r="M117" s="10" t="s">
        <v>75</v>
      </c>
      <c r="N117" s="10">
        <v>8</v>
      </c>
      <c r="O117" s="10">
        <v>11</v>
      </c>
      <c r="P117" s="10">
        <v>12</v>
      </c>
      <c r="Q117" s="10" t="s">
        <v>123</v>
      </c>
      <c r="R117" s="10" t="s">
        <v>77</v>
      </c>
      <c r="S117" s="10" t="s">
        <v>78</v>
      </c>
    </row>
    <row r="118" spans="1:19" x14ac:dyDescent="0.2">
      <c r="A118" s="8" t="s">
        <v>418</v>
      </c>
      <c r="B118" s="8">
        <v>26</v>
      </c>
      <c r="C118" s="8" t="s">
        <v>282</v>
      </c>
      <c r="D118" s="8">
        <v>8</v>
      </c>
      <c r="E118" s="8" t="s">
        <v>31</v>
      </c>
      <c r="F118" s="8" t="s">
        <v>33</v>
      </c>
      <c r="G118" s="8" t="s">
        <v>419</v>
      </c>
      <c r="H118" s="8" t="s">
        <v>375</v>
      </c>
      <c r="I118" s="8" t="s">
        <v>375</v>
      </c>
      <c r="J118" s="8">
        <v>4</v>
      </c>
      <c r="K118" s="9">
        <v>85</v>
      </c>
      <c r="L118" s="9">
        <v>340</v>
      </c>
      <c r="M118" s="8" t="s">
        <v>75</v>
      </c>
      <c r="N118" s="8">
        <v>0</v>
      </c>
      <c r="O118" s="8">
        <v>7</v>
      </c>
      <c r="P118" s="8">
        <v>9</v>
      </c>
      <c r="Q118" s="8" t="s">
        <v>221</v>
      </c>
      <c r="R118" s="8" t="s">
        <v>139</v>
      </c>
      <c r="S118" s="8" t="s">
        <v>78</v>
      </c>
    </row>
    <row r="119" spans="1:19" x14ac:dyDescent="0.2">
      <c r="A119" s="10" t="s">
        <v>420</v>
      </c>
      <c r="B119" s="10">
        <v>11</v>
      </c>
      <c r="C119" s="10" t="s">
        <v>112</v>
      </c>
      <c r="D119" s="10">
        <v>4</v>
      </c>
      <c r="E119" s="10" t="s">
        <v>18</v>
      </c>
      <c r="F119" s="10" t="s">
        <v>20</v>
      </c>
      <c r="G119" s="10" t="s">
        <v>351</v>
      </c>
      <c r="H119" s="10" t="s">
        <v>151</v>
      </c>
      <c r="I119" s="10" t="s">
        <v>151</v>
      </c>
      <c r="J119" s="10">
        <v>18</v>
      </c>
      <c r="K119" s="11">
        <v>18</v>
      </c>
      <c r="L119" s="11">
        <v>324</v>
      </c>
      <c r="M119" s="10" t="s">
        <v>75</v>
      </c>
      <c r="N119" s="10">
        <v>0</v>
      </c>
      <c r="O119" s="10">
        <v>3</v>
      </c>
      <c r="P119" s="10">
        <v>2</v>
      </c>
      <c r="Q119" s="10" t="s">
        <v>90</v>
      </c>
      <c r="R119" s="10" t="s">
        <v>91</v>
      </c>
      <c r="S119" s="10" t="s">
        <v>85</v>
      </c>
    </row>
    <row r="120" spans="1:19" x14ac:dyDescent="0.2">
      <c r="A120" s="8" t="s">
        <v>421</v>
      </c>
      <c r="B120" s="8">
        <v>19</v>
      </c>
      <c r="C120" s="8" t="s">
        <v>172</v>
      </c>
      <c r="D120" s="8">
        <v>6</v>
      </c>
      <c r="E120" s="8" t="s">
        <v>24</v>
      </c>
      <c r="F120" s="8" t="s">
        <v>26</v>
      </c>
      <c r="G120" s="8" t="s">
        <v>99</v>
      </c>
      <c r="H120" s="8" t="s">
        <v>422</v>
      </c>
      <c r="I120" s="8" t="s">
        <v>94</v>
      </c>
      <c r="J120" s="8">
        <v>9</v>
      </c>
      <c r="K120" s="9">
        <v>450</v>
      </c>
      <c r="L120" s="9">
        <v>4050</v>
      </c>
      <c r="M120" s="8" t="s">
        <v>75</v>
      </c>
      <c r="N120" s="8">
        <v>7</v>
      </c>
      <c r="O120" s="8">
        <v>22</v>
      </c>
      <c r="P120" s="8">
        <v>1</v>
      </c>
      <c r="Q120" s="8" t="s">
        <v>101</v>
      </c>
      <c r="R120" s="8" t="s">
        <v>91</v>
      </c>
      <c r="S120" s="8" t="s">
        <v>85</v>
      </c>
    </row>
    <row r="121" spans="1:19" x14ac:dyDescent="0.2">
      <c r="A121" s="10" t="s">
        <v>423</v>
      </c>
      <c r="B121" s="10">
        <v>10</v>
      </c>
      <c r="C121" s="10" t="s">
        <v>275</v>
      </c>
      <c r="D121" s="10">
        <v>2</v>
      </c>
      <c r="E121" s="10" t="s">
        <v>12</v>
      </c>
      <c r="F121" s="10" t="s">
        <v>14</v>
      </c>
      <c r="G121" s="10" t="s">
        <v>226</v>
      </c>
      <c r="H121" s="10" t="s">
        <v>424</v>
      </c>
      <c r="I121" s="10" t="s">
        <v>424</v>
      </c>
      <c r="J121" s="10">
        <v>11</v>
      </c>
      <c r="K121" s="11">
        <v>45</v>
      </c>
      <c r="L121" s="11">
        <v>495</v>
      </c>
      <c r="M121" s="10" t="s">
        <v>75</v>
      </c>
      <c r="N121" s="10">
        <v>0</v>
      </c>
      <c r="O121" s="10">
        <v>5</v>
      </c>
      <c r="P121" s="10">
        <v>11</v>
      </c>
      <c r="Q121" s="10" t="s">
        <v>76</v>
      </c>
      <c r="R121" s="10" t="s">
        <v>77</v>
      </c>
      <c r="S121" s="10" t="s">
        <v>78</v>
      </c>
    </row>
    <row r="122" spans="1:19" x14ac:dyDescent="0.2">
      <c r="A122" s="8" t="s">
        <v>425</v>
      </c>
      <c r="B122" s="8">
        <v>11</v>
      </c>
      <c r="C122" s="8" t="s">
        <v>112</v>
      </c>
      <c r="D122" s="8">
        <v>4</v>
      </c>
      <c r="E122" s="8" t="s">
        <v>18</v>
      </c>
      <c r="F122" s="8" t="s">
        <v>20</v>
      </c>
      <c r="G122" s="8" t="s">
        <v>426</v>
      </c>
      <c r="H122" s="8" t="s">
        <v>427</v>
      </c>
      <c r="I122" s="8" t="s">
        <v>427</v>
      </c>
      <c r="J122" s="8">
        <v>28</v>
      </c>
      <c r="K122" s="9">
        <v>18</v>
      </c>
      <c r="L122" s="9">
        <v>504</v>
      </c>
      <c r="M122" s="8" t="s">
        <v>75</v>
      </c>
      <c r="N122" s="8">
        <v>0</v>
      </c>
      <c r="O122" s="8">
        <v>3</v>
      </c>
      <c r="P122" s="8">
        <v>8</v>
      </c>
      <c r="Q122" s="8" t="s">
        <v>147</v>
      </c>
      <c r="R122" s="8" t="s">
        <v>139</v>
      </c>
      <c r="S122" s="8" t="s">
        <v>78</v>
      </c>
    </row>
    <row r="123" spans="1:19" x14ac:dyDescent="0.2">
      <c r="A123" s="10" t="s">
        <v>428</v>
      </c>
      <c r="B123" s="10">
        <v>20</v>
      </c>
      <c r="C123" s="10" t="s">
        <v>286</v>
      </c>
      <c r="D123" s="10">
        <v>6</v>
      </c>
      <c r="E123" s="10" t="s">
        <v>24</v>
      </c>
      <c r="F123" s="10" t="s">
        <v>26</v>
      </c>
      <c r="G123" s="10" t="s">
        <v>211</v>
      </c>
      <c r="H123" s="10" t="s">
        <v>429</v>
      </c>
      <c r="I123" s="10" t="s">
        <v>430</v>
      </c>
      <c r="J123" s="10">
        <v>45</v>
      </c>
      <c r="K123" s="11">
        <v>180</v>
      </c>
      <c r="L123" s="11">
        <v>8100</v>
      </c>
      <c r="M123" s="10" t="s">
        <v>75</v>
      </c>
      <c r="N123" s="10">
        <v>1</v>
      </c>
      <c r="O123" s="10">
        <v>16</v>
      </c>
      <c r="P123" s="10">
        <v>10</v>
      </c>
      <c r="Q123" s="10" t="s">
        <v>161</v>
      </c>
      <c r="R123" s="10" t="s">
        <v>77</v>
      </c>
      <c r="S123" s="10" t="s">
        <v>78</v>
      </c>
    </row>
    <row r="124" spans="1:19" x14ac:dyDescent="0.2">
      <c r="A124" s="8" t="s">
        <v>431</v>
      </c>
      <c r="B124" s="8">
        <v>16</v>
      </c>
      <c r="C124" s="8" t="s">
        <v>201</v>
      </c>
      <c r="D124" s="8">
        <v>6</v>
      </c>
      <c r="E124" s="8" t="s">
        <v>24</v>
      </c>
      <c r="F124" s="8" t="s">
        <v>26</v>
      </c>
      <c r="G124" s="8" t="s">
        <v>432</v>
      </c>
      <c r="H124" s="8" t="s">
        <v>255</v>
      </c>
      <c r="I124" s="8" t="s">
        <v>255</v>
      </c>
      <c r="J124" s="8">
        <v>24</v>
      </c>
      <c r="K124" s="9">
        <v>850</v>
      </c>
      <c r="L124" s="9">
        <v>20400</v>
      </c>
      <c r="M124" s="8" t="s">
        <v>75</v>
      </c>
      <c r="N124" s="8">
        <v>0</v>
      </c>
      <c r="O124" s="8">
        <v>15</v>
      </c>
      <c r="P124" s="8">
        <v>3</v>
      </c>
      <c r="Q124" s="8" t="s">
        <v>128</v>
      </c>
      <c r="R124" s="8" t="s">
        <v>91</v>
      </c>
      <c r="S124" s="8" t="s">
        <v>85</v>
      </c>
    </row>
    <row r="125" spans="1:19" x14ac:dyDescent="0.2">
      <c r="A125" s="10" t="s">
        <v>433</v>
      </c>
      <c r="B125" s="10">
        <v>17</v>
      </c>
      <c r="C125" s="10" t="s">
        <v>120</v>
      </c>
      <c r="D125" s="10">
        <v>6</v>
      </c>
      <c r="E125" s="10" t="s">
        <v>24</v>
      </c>
      <c r="F125" s="10" t="s">
        <v>26</v>
      </c>
      <c r="G125" s="10" t="s">
        <v>159</v>
      </c>
      <c r="H125" s="10" t="s">
        <v>434</v>
      </c>
      <c r="I125" s="10" t="s">
        <v>434</v>
      </c>
      <c r="J125" s="10">
        <v>28</v>
      </c>
      <c r="K125" s="11">
        <v>1200</v>
      </c>
      <c r="L125" s="11">
        <v>33600</v>
      </c>
      <c r="M125" s="10" t="s">
        <v>75</v>
      </c>
      <c r="N125" s="10">
        <v>0</v>
      </c>
      <c r="O125" s="10">
        <v>15</v>
      </c>
      <c r="P125" s="10">
        <v>10</v>
      </c>
      <c r="Q125" s="10" t="s">
        <v>161</v>
      </c>
      <c r="R125" s="10" t="s">
        <v>77</v>
      </c>
      <c r="S125" s="10" t="s">
        <v>78</v>
      </c>
    </row>
    <row r="126" spans="1:19" x14ac:dyDescent="0.2">
      <c r="A126" s="8" t="s">
        <v>435</v>
      </c>
      <c r="B126" s="8">
        <v>26</v>
      </c>
      <c r="C126" s="8" t="s">
        <v>282</v>
      </c>
      <c r="D126" s="8">
        <v>8</v>
      </c>
      <c r="E126" s="8" t="s">
        <v>31</v>
      </c>
      <c r="F126" s="8" t="s">
        <v>33</v>
      </c>
      <c r="G126" s="8" t="s">
        <v>349</v>
      </c>
      <c r="H126" s="8" t="s">
        <v>324</v>
      </c>
      <c r="I126" s="8" t="s">
        <v>436</v>
      </c>
      <c r="J126" s="8">
        <v>3</v>
      </c>
      <c r="K126" s="9">
        <v>85</v>
      </c>
      <c r="L126" s="9">
        <v>255</v>
      </c>
      <c r="M126" s="8" t="s">
        <v>75</v>
      </c>
      <c r="N126" s="8">
        <v>3</v>
      </c>
      <c r="O126" s="8">
        <v>10</v>
      </c>
      <c r="P126" s="8">
        <v>3</v>
      </c>
      <c r="Q126" s="8" t="s">
        <v>128</v>
      </c>
      <c r="R126" s="8" t="s">
        <v>91</v>
      </c>
      <c r="S126" s="8" t="s">
        <v>85</v>
      </c>
    </row>
    <row r="127" spans="1:19" x14ac:dyDescent="0.2">
      <c r="A127" s="10" t="s">
        <v>437</v>
      </c>
      <c r="B127" s="10">
        <v>22</v>
      </c>
      <c r="C127" s="10" t="s">
        <v>216</v>
      </c>
      <c r="D127" s="10">
        <v>11</v>
      </c>
      <c r="E127" s="10" t="s">
        <v>39</v>
      </c>
      <c r="F127" s="10" t="s">
        <v>41</v>
      </c>
      <c r="G127" s="10" t="s">
        <v>136</v>
      </c>
      <c r="H127" s="10" t="s">
        <v>273</v>
      </c>
      <c r="I127" s="10" t="s">
        <v>273</v>
      </c>
      <c r="J127" s="10">
        <v>16</v>
      </c>
      <c r="K127" s="11">
        <v>350</v>
      </c>
      <c r="L127" s="11">
        <v>5600</v>
      </c>
      <c r="M127" s="10" t="s">
        <v>75</v>
      </c>
      <c r="N127" s="10">
        <v>0</v>
      </c>
      <c r="O127" s="10">
        <v>12</v>
      </c>
      <c r="P127" s="10">
        <v>7</v>
      </c>
      <c r="Q127" s="10" t="s">
        <v>138</v>
      </c>
      <c r="R127" s="10" t="s">
        <v>139</v>
      </c>
      <c r="S127" s="10" t="s">
        <v>78</v>
      </c>
    </row>
    <row r="128" spans="1:19" x14ac:dyDescent="0.2">
      <c r="A128" s="8" t="s">
        <v>438</v>
      </c>
      <c r="B128" s="8">
        <v>16</v>
      </c>
      <c r="C128" s="8" t="s">
        <v>201</v>
      </c>
      <c r="D128" s="8">
        <v>6</v>
      </c>
      <c r="E128" s="8" t="s">
        <v>24</v>
      </c>
      <c r="F128" s="8" t="s">
        <v>26</v>
      </c>
      <c r="G128" s="8" t="s">
        <v>439</v>
      </c>
      <c r="H128" s="8" t="s">
        <v>239</v>
      </c>
      <c r="I128" s="8" t="s">
        <v>440</v>
      </c>
      <c r="J128" s="8">
        <v>36</v>
      </c>
      <c r="K128" s="9">
        <v>850</v>
      </c>
      <c r="L128" s="9">
        <v>30600</v>
      </c>
      <c r="M128" s="8" t="s">
        <v>75</v>
      </c>
      <c r="N128" s="8">
        <v>7</v>
      </c>
      <c r="O128" s="8">
        <v>22</v>
      </c>
      <c r="P128" s="8">
        <v>12</v>
      </c>
      <c r="Q128" s="8" t="s">
        <v>123</v>
      </c>
      <c r="R128" s="8" t="s">
        <v>77</v>
      </c>
      <c r="S128" s="8" t="s">
        <v>78</v>
      </c>
    </row>
    <row r="129" spans="1:19" x14ac:dyDescent="0.2">
      <c r="A129" s="10" t="s">
        <v>441</v>
      </c>
      <c r="B129" s="10">
        <v>23</v>
      </c>
      <c r="C129" s="10" t="s">
        <v>168</v>
      </c>
      <c r="D129" s="10">
        <v>10</v>
      </c>
      <c r="E129" s="10" t="s">
        <v>37</v>
      </c>
      <c r="F129" s="10" t="s">
        <v>10</v>
      </c>
      <c r="G129" s="10" t="s">
        <v>328</v>
      </c>
      <c r="H129" s="10" t="s">
        <v>442</v>
      </c>
      <c r="I129" s="10" t="s">
        <v>442</v>
      </c>
      <c r="J129" s="10">
        <v>48</v>
      </c>
      <c r="K129" s="11">
        <v>25</v>
      </c>
      <c r="L129" s="11">
        <v>1200</v>
      </c>
      <c r="M129" s="10" t="s">
        <v>75</v>
      </c>
      <c r="N129" s="10">
        <v>0</v>
      </c>
      <c r="O129" s="10">
        <v>10</v>
      </c>
      <c r="P129" s="10">
        <v>7</v>
      </c>
      <c r="Q129" s="10" t="s">
        <v>138</v>
      </c>
      <c r="R129" s="10" t="s">
        <v>139</v>
      </c>
      <c r="S129" s="10" t="s">
        <v>78</v>
      </c>
    </row>
    <row r="130" spans="1:19" x14ac:dyDescent="0.2">
      <c r="A130" s="8" t="s">
        <v>443</v>
      </c>
      <c r="B130" s="8">
        <v>22</v>
      </c>
      <c r="C130" s="8" t="s">
        <v>216</v>
      </c>
      <c r="D130" s="8">
        <v>11</v>
      </c>
      <c r="E130" s="8" t="s">
        <v>39</v>
      </c>
      <c r="F130" s="8" t="s">
        <v>41</v>
      </c>
      <c r="G130" s="8" t="s">
        <v>126</v>
      </c>
      <c r="H130" s="8" t="s">
        <v>255</v>
      </c>
      <c r="I130" s="8" t="s">
        <v>255</v>
      </c>
      <c r="J130" s="8">
        <v>16</v>
      </c>
      <c r="K130" s="9">
        <v>350</v>
      </c>
      <c r="L130" s="9">
        <v>5600</v>
      </c>
      <c r="M130" s="8" t="s">
        <v>75</v>
      </c>
      <c r="N130" s="8">
        <v>0</v>
      </c>
      <c r="O130" s="8">
        <v>12</v>
      </c>
      <c r="P130" s="8">
        <v>3</v>
      </c>
      <c r="Q130" s="8" t="s">
        <v>128</v>
      </c>
      <c r="R130" s="8" t="s">
        <v>91</v>
      </c>
      <c r="S130" s="8" t="s">
        <v>85</v>
      </c>
    </row>
    <row r="131" spans="1:19" x14ac:dyDescent="0.2">
      <c r="A131" s="10" t="s">
        <v>444</v>
      </c>
      <c r="B131" s="10">
        <v>26</v>
      </c>
      <c r="C131" s="10" t="s">
        <v>282</v>
      </c>
      <c r="D131" s="10">
        <v>8</v>
      </c>
      <c r="E131" s="10" t="s">
        <v>31</v>
      </c>
      <c r="F131" s="10" t="s">
        <v>33</v>
      </c>
      <c r="G131" s="10" t="s">
        <v>185</v>
      </c>
      <c r="H131" s="10" t="s">
        <v>445</v>
      </c>
      <c r="I131" s="10" t="s">
        <v>445</v>
      </c>
      <c r="J131" s="10">
        <v>12</v>
      </c>
      <c r="K131" s="11">
        <v>85</v>
      </c>
      <c r="L131" s="11">
        <v>1020</v>
      </c>
      <c r="M131" s="10" t="s">
        <v>75</v>
      </c>
      <c r="N131" s="10">
        <v>0</v>
      </c>
      <c r="O131" s="10">
        <v>7</v>
      </c>
      <c r="P131" s="10">
        <v>3</v>
      </c>
      <c r="Q131" s="10" t="s">
        <v>128</v>
      </c>
      <c r="R131" s="10" t="s">
        <v>91</v>
      </c>
      <c r="S131" s="10" t="s">
        <v>85</v>
      </c>
    </row>
    <row r="132" spans="1:19" x14ac:dyDescent="0.2">
      <c r="A132" s="8" t="s">
        <v>446</v>
      </c>
      <c r="B132" s="8">
        <v>11</v>
      </c>
      <c r="C132" s="8" t="s">
        <v>112</v>
      </c>
      <c r="D132" s="8">
        <v>4</v>
      </c>
      <c r="E132" s="8" t="s">
        <v>18</v>
      </c>
      <c r="F132" s="8" t="s">
        <v>20</v>
      </c>
      <c r="G132" s="8" t="s">
        <v>447</v>
      </c>
      <c r="H132" s="8" t="s">
        <v>448</v>
      </c>
      <c r="I132" s="8" t="s">
        <v>331</v>
      </c>
      <c r="J132" s="8">
        <v>22</v>
      </c>
      <c r="K132" s="9">
        <v>18</v>
      </c>
      <c r="L132" s="9">
        <v>396</v>
      </c>
      <c r="M132" s="8" t="s">
        <v>75</v>
      </c>
      <c r="N132" s="8">
        <v>6</v>
      </c>
      <c r="O132" s="8">
        <v>9</v>
      </c>
      <c r="P132" s="8">
        <v>7</v>
      </c>
      <c r="Q132" s="8" t="s">
        <v>138</v>
      </c>
      <c r="R132" s="8" t="s">
        <v>139</v>
      </c>
      <c r="S132" s="8" t="s">
        <v>78</v>
      </c>
    </row>
    <row r="133" spans="1:19" x14ac:dyDescent="0.2">
      <c r="A133" s="10" t="s">
        <v>449</v>
      </c>
      <c r="B133" s="10">
        <v>7</v>
      </c>
      <c r="C133" s="10" t="s">
        <v>125</v>
      </c>
      <c r="D133" s="10">
        <v>2</v>
      </c>
      <c r="E133" s="10" t="s">
        <v>12</v>
      </c>
      <c r="F133" s="10" t="s">
        <v>14</v>
      </c>
      <c r="G133" s="10" t="s">
        <v>450</v>
      </c>
      <c r="H133" s="10" t="s">
        <v>329</v>
      </c>
      <c r="I133" s="10" t="s">
        <v>329</v>
      </c>
      <c r="J133" s="10">
        <v>48</v>
      </c>
      <c r="K133" s="11">
        <v>18</v>
      </c>
      <c r="L133" s="11">
        <v>864</v>
      </c>
      <c r="M133" s="10" t="s">
        <v>75</v>
      </c>
      <c r="N133" s="10">
        <v>0</v>
      </c>
      <c r="O133" s="10">
        <v>5</v>
      </c>
      <c r="P133" s="10">
        <v>7</v>
      </c>
      <c r="Q133" s="10" t="s">
        <v>138</v>
      </c>
      <c r="R133" s="10" t="s">
        <v>139</v>
      </c>
      <c r="S133" s="10" t="s">
        <v>78</v>
      </c>
    </row>
    <row r="134" spans="1:19" x14ac:dyDescent="0.2">
      <c r="A134" s="8" t="s">
        <v>451</v>
      </c>
      <c r="B134" s="8">
        <v>10</v>
      </c>
      <c r="C134" s="8" t="s">
        <v>275</v>
      </c>
      <c r="D134" s="8">
        <v>2</v>
      </c>
      <c r="E134" s="8" t="s">
        <v>12</v>
      </c>
      <c r="F134" s="8" t="s">
        <v>14</v>
      </c>
      <c r="G134" s="8" t="s">
        <v>277</v>
      </c>
      <c r="H134" s="8" t="s">
        <v>82</v>
      </c>
      <c r="I134" s="8" t="s">
        <v>82</v>
      </c>
      <c r="J134" s="8">
        <v>45</v>
      </c>
      <c r="K134" s="9">
        <v>45</v>
      </c>
      <c r="L134" s="9">
        <v>2025</v>
      </c>
      <c r="M134" s="8" t="s">
        <v>75</v>
      </c>
      <c r="N134" s="8">
        <v>0</v>
      </c>
      <c r="O134" s="8">
        <v>5</v>
      </c>
      <c r="P134" s="8">
        <v>5</v>
      </c>
      <c r="Q134" s="8" t="s">
        <v>83</v>
      </c>
      <c r="R134" s="8" t="s">
        <v>84</v>
      </c>
      <c r="S134" s="8" t="s">
        <v>85</v>
      </c>
    </row>
    <row r="135" spans="1:19" x14ac:dyDescent="0.2">
      <c r="A135" s="10" t="s">
        <v>452</v>
      </c>
      <c r="B135" s="10">
        <v>23</v>
      </c>
      <c r="C135" s="10" t="s">
        <v>168</v>
      </c>
      <c r="D135" s="10">
        <v>10</v>
      </c>
      <c r="E135" s="10" t="s">
        <v>37</v>
      </c>
      <c r="F135" s="10" t="s">
        <v>10</v>
      </c>
      <c r="G135" s="10" t="s">
        <v>340</v>
      </c>
      <c r="H135" s="10" t="s">
        <v>349</v>
      </c>
      <c r="I135" s="10" t="s">
        <v>349</v>
      </c>
      <c r="J135" s="10">
        <v>3</v>
      </c>
      <c r="K135" s="11">
        <v>25</v>
      </c>
      <c r="L135" s="11">
        <v>75</v>
      </c>
      <c r="M135" s="10" t="s">
        <v>75</v>
      </c>
      <c r="N135" s="10">
        <v>0</v>
      </c>
      <c r="O135" s="10">
        <v>10</v>
      </c>
      <c r="P135" s="10">
        <v>2</v>
      </c>
      <c r="Q135" s="10" t="s">
        <v>90</v>
      </c>
      <c r="R135" s="10" t="s">
        <v>91</v>
      </c>
      <c r="S135" s="10" t="s">
        <v>85</v>
      </c>
    </row>
    <row r="136" spans="1:19" x14ac:dyDescent="0.2">
      <c r="A136" s="8" t="s">
        <v>453</v>
      </c>
      <c r="B136" s="8">
        <v>21</v>
      </c>
      <c r="C136" s="8" t="s">
        <v>108</v>
      </c>
      <c r="D136" s="8">
        <v>11</v>
      </c>
      <c r="E136" s="8" t="s">
        <v>39</v>
      </c>
      <c r="F136" s="8" t="s">
        <v>41</v>
      </c>
      <c r="G136" s="8" t="s">
        <v>146</v>
      </c>
      <c r="H136" s="8" t="s">
        <v>454</v>
      </c>
      <c r="I136" s="8" t="s">
        <v>454</v>
      </c>
      <c r="J136" s="8">
        <v>30</v>
      </c>
      <c r="K136" s="9">
        <v>2800</v>
      </c>
      <c r="L136" s="9">
        <v>84000</v>
      </c>
      <c r="M136" s="8" t="s">
        <v>75</v>
      </c>
      <c r="N136" s="8">
        <v>0</v>
      </c>
      <c r="O136" s="8">
        <v>12</v>
      </c>
      <c r="P136" s="8">
        <v>8</v>
      </c>
      <c r="Q136" s="8" t="s">
        <v>147</v>
      </c>
      <c r="R136" s="8" t="s">
        <v>139</v>
      </c>
      <c r="S136" s="8" t="s">
        <v>78</v>
      </c>
    </row>
    <row r="137" spans="1:19" x14ac:dyDescent="0.2">
      <c r="A137" s="10" t="s">
        <v>455</v>
      </c>
      <c r="B137" s="10">
        <v>2</v>
      </c>
      <c r="C137" s="10" t="s">
        <v>456</v>
      </c>
      <c r="D137" s="10">
        <v>1</v>
      </c>
      <c r="E137" s="10" t="s">
        <v>8</v>
      </c>
      <c r="F137" s="10" t="s">
        <v>10</v>
      </c>
      <c r="G137" s="10" t="s">
        <v>457</v>
      </c>
      <c r="H137" s="10" t="s">
        <v>173</v>
      </c>
      <c r="I137" s="10" t="s">
        <v>173</v>
      </c>
      <c r="J137" s="10">
        <v>15</v>
      </c>
      <c r="K137" s="11">
        <v>1200</v>
      </c>
      <c r="L137" s="11">
        <v>18000</v>
      </c>
      <c r="M137" s="10" t="s">
        <v>75</v>
      </c>
      <c r="N137" s="10">
        <v>0</v>
      </c>
      <c r="O137" s="10">
        <v>7</v>
      </c>
      <c r="P137" s="10">
        <v>6</v>
      </c>
      <c r="Q137" s="10" t="s">
        <v>134</v>
      </c>
      <c r="R137" s="10" t="s">
        <v>84</v>
      </c>
      <c r="S137" s="10" t="s">
        <v>85</v>
      </c>
    </row>
    <row r="138" spans="1:19" x14ac:dyDescent="0.2">
      <c r="A138" s="8" t="s">
        <v>458</v>
      </c>
      <c r="B138" s="8">
        <v>19</v>
      </c>
      <c r="C138" s="8" t="s">
        <v>172</v>
      </c>
      <c r="D138" s="8">
        <v>6</v>
      </c>
      <c r="E138" s="8" t="s">
        <v>24</v>
      </c>
      <c r="F138" s="8" t="s">
        <v>26</v>
      </c>
      <c r="G138" s="8" t="s">
        <v>357</v>
      </c>
      <c r="H138" s="8" t="s">
        <v>459</v>
      </c>
      <c r="I138" s="8" t="s">
        <v>307</v>
      </c>
      <c r="J138" s="8">
        <v>26</v>
      </c>
      <c r="K138" s="9">
        <v>450</v>
      </c>
      <c r="L138" s="9">
        <v>11700</v>
      </c>
      <c r="M138" s="8" t="s">
        <v>75</v>
      </c>
      <c r="N138" s="8">
        <v>2</v>
      </c>
      <c r="O138" s="8">
        <v>17</v>
      </c>
      <c r="P138" s="8">
        <v>4</v>
      </c>
      <c r="Q138" s="8" t="s">
        <v>115</v>
      </c>
      <c r="R138" s="8" t="s">
        <v>84</v>
      </c>
      <c r="S138" s="8" t="s">
        <v>85</v>
      </c>
    </row>
    <row r="139" spans="1:19" x14ac:dyDescent="0.2">
      <c r="A139" s="10" t="s">
        <v>460</v>
      </c>
      <c r="B139" s="10">
        <v>16</v>
      </c>
      <c r="C139" s="10" t="s">
        <v>201</v>
      </c>
      <c r="D139" s="10">
        <v>6</v>
      </c>
      <c r="E139" s="10" t="s">
        <v>24</v>
      </c>
      <c r="F139" s="10" t="s">
        <v>26</v>
      </c>
      <c r="G139" s="10" t="s">
        <v>409</v>
      </c>
      <c r="H139" s="10" t="s">
        <v>136</v>
      </c>
      <c r="I139" s="10" t="s">
        <v>136</v>
      </c>
      <c r="J139" s="10">
        <v>5</v>
      </c>
      <c r="K139" s="11">
        <v>850</v>
      </c>
      <c r="L139" s="11">
        <v>4250</v>
      </c>
      <c r="M139" s="10" t="s">
        <v>75</v>
      </c>
      <c r="N139" s="10">
        <v>0</v>
      </c>
      <c r="O139" s="10">
        <v>15</v>
      </c>
      <c r="P139" s="10">
        <v>6</v>
      </c>
      <c r="Q139" s="10" t="s">
        <v>134</v>
      </c>
      <c r="R139" s="10" t="s">
        <v>84</v>
      </c>
      <c r="S139" s="10" t="s">
        <v>85</v>
      </c>
    </row>
    <row r="140" spans="1:19" x14ac:dyDescent="0.2">
      <c r="A140" s="8" t="s">
        <v>461</v>
      </c>
      <c r="B140" s="8">
        <v>28</v>
      </c>
      <c r="C140" s="8" t="s">
        <v>71</v>
      </c>
      <c r="D140" s="8">
        <v>8</v>
      </c>
      <c r="E140" s="8" t="s">
        <v>31</v>
      </c>
      <c r="F140" s="8" t="s">
        <v>33</v>
      </c>
      <c r="G140" s="8" t="s">
        <v>462</v>
      </c>
      <c r="H140" s="8" t="s">
        <v>463</v>
      </c>
      <c r="I140" s="8" t="s">
        <v>463</v>
      </c>
      <c r="J140" s="8">
        <v>33</v>
      </c>
      <c r="K140" s="9">
        <v>120</v>
      </c>
      <c r="L140" s="9">
        <v>3960</v>
      </c>
      <c r="M140" s="8" t="s">
        <v>75</v>
      </c>
      <c r="N140" s="8">
        <v>0</v>
      </c>
      <c r="O140" s="8">
        <v>7</v>
      </c>
      <c r="P140" s="8">
        <v>5</v>
      </c>
      <c r="Q140" s="8" t="s">
        <v>83</v>
      </c>
      <c r="R140" s="8" t="s">
        <v>84</v>
      </c>
      <c r="S140" s="8" t="s">
        <v>85</v>
      </c>
    </row>
    <row r="141" spans="1:19" x14ac:dyDescent="0.2">
      <c r="A141" s="10" t="s">
        <v>464</v>
      </c>
      <c r="B141" s="10">
        <v>26</v>
      </c>
      <c r="C141" s="10" t="s">
        <v>282</v>
      </c>
      <c r="D141" s="10">
        <v>8</v>
      </c>
      <c r="E141" s="10" t="s">
        <v>31</v>
      </c>
      <c r="F141" s="10" t="s">
        <v>33</v>
      </c>
      <c r="G141" s="10" t="s">
        <v>170</v>
      </c>
      <c r="H141" s="10" t="s">
        <v>447</v>
      </c>
      <c r="I141" s="10" t="s">
        <v>447</v>
      </c>
      <c r="J141" s="10">
        <v>35</v>
      </c>
      <c r="K141" s="11">
        <v>85</v>
      </c>
      <c r="L141" s="11">
        <v>2975</v>
      </c>
      <c r="M141" s="10" t="s">
        <v>75</v>
      </c>
      <c r="N141" s="10">
        <v>0</v>
      </c>
      <c r="O141" s="10">
        <v>7</v>
      </c>
      <c r="P141" s="10">
        <v>7</v>
      </c>
      <c r="Q141" s="10" t="s">
        <v>138</v>
      </c>
      <c r="R141" s="10" t="s">
        <v>139</v>
      </c>
      <c r="S141" s="10" t="s">
        <v>78</v>
      </c>
    </row>
    <row r="142" spans="1:19" x14ac:dyDescent="0.2">
      <c r="A142" s="8" t="s">
        <v>465</v>
      </c>
      <c r="B142" s="8">
        <v>22</v>
      </c>
      <c r="C142" s="8" t="s">
        <v>216</v>
      </c>
      <c r="D142" s="8">
        <v>11</v>
      </c>
      <c r="E142" s="8" t="s">
        <v>39</v>
      </c>
      <c r="F142" s="8" t="s">
        <v>41</v>
      </c>
      <c r="G142" s="8" t="s">
        <v>403</v>
      </c>
      <c r="H142" s="8" t="s">
        <v>133</v>
      </c>
      <c r="I142" s="8" t="s">
        <v>133</v>
      </c>
      <c r="J142" s="8">
        <v>8</v>
      </c>
      <c r="K142" s="9">
        <v>350</v>
      </c>
      <c r="L142" s="9">
        <v>2800</v>
      </c>
      <c r="M142" s="8" t="s">
        <v>75</v>
      </c>
      <c r="N142" s="8">
        <v>0</v>
      </c>
      <c r="O142" s="8">
        <v>12</v>
      </c>
      <c r="P142" s="8">
        <v>6</v>
      </c>
      <c r="Q142" s="8" t="s">
        <v>134</v>
      </c>
      <c r="R142" s="8" t="s">
        <v>84</v>
      </c>
      <c r="S142" s="8" t="s">
        <v>85</v>
      </c>
    </row>
    <row r="143" spans="1:19" x14ac:dyDescent="0.2">
      <c r="A143" s="10" t="s">
        <v>466</v>
      </c>
      <c r="B143" s="10">
        <v>24</v>
      </c>
      <c r="C143" s="10" t="s">
        <v>149</v>
      </c>
      <c r="D143" s="10">
        <v>10</v>
      </c>
      <c r="E143" s="10" t="s">
        <v>37</v>
      </c>
      <c r="F143" s="10" t="s">
        <v>10</v>
      </c>
      <c r="G143" s="10" t="s">
        <v>467</v>
      </c>
      <c r="H143" s="10" t="s">
        <v>242</v>
      </c>
      <c r="I143" s="10" t="s">
        <v>363</v>
      </c>
      <c r="J143" s="10">
        <v>3</v>
      </c>
      <c r="K143" s="11">
        <v>380</v>
      </c>
      <c r="L143" s="11">
        <v>1140</v>
      </c>
      <c r="M143" s="10" t="s">
        <v>75</v>
      </c>
      <c r="N143" s="10">
        <v>3</v>
      </c>
      <c r="O143" s="10">
        <v>13</v>
      </c>
      <c r="P143" s="10">
        <v>5</v>
      </c>
      <c r="Q143" s="10" t="s">
        <v>83</v>
      </c>
      <c r="R143" s="10" t="s">
        <v>84</v>
      </c>
      <c r="S143" s="10" t="s">
        <v>85</v>
      </c>
    </row>
    <row r="144" spans="1:19" x14ac:dyDescent="0.2">
      <c r="A144" s="8" t="s">
        <v>468</v>
      </c>
      <c r="B144" s="8">
        <v>7</v>
      </c>
      <c r="C144" s="8" t="s">
        <v>125</v>
      </c>
      <c r="D144" s="8">
        <v>2</v>
      </c>
      <c r="E144" s="8" t="s">
        <v>12</v>
      </c>
      <c r="F144" s="8" t="s">
        <v>14</v>
      </c>
      <c r="G144" s="8" t="s">
        <v>340</v>
      </c>
      <c r="H144" s="8" t="s">
        <v>337</v>
      </c>
      <c r="I144" s="8" t="s">
        <v>337</v>
      </c>
      <c r="J144" s="8">
        <v>23</v>
      </c>
      <c r="K144" s="9">
        <v>18</v>
      </c>
      <c r="L144" s="9">
        <v>414</v>
      </c>
      <c r="M144" s="8" t="s">
        <v>75</v>
      </c>
      <c r="N144" s="8">
        <v>0</v>
      </c>
      <c r="O144" s="8">
        <v>5</v>
      </c>
      <c r="P144" s="8">
        <v>2</v>
      </c>
      <c r="Q144" s="8" t="s">
        <v>90</v>
      </c>
      <c r="R144" s="8" t="s">
        <v>91</v>
      </c>
      <c r="S144" s="8" t="s">
        <v>85</v>
      </c>
    </row>
    <row r="145" spans="1:19" x14ac:dyDescent="0.2">
      <c r="A145" s="10" t="s">
        <v>469</v>
      </c>
      <c r="B145" s="10">
        <v>9</v>
      </c>
      <c r="C145" s="10" t="s">
        <v>130</v>
      </c>
      <c r="D145" s="10">
        <v>2</v>
      </c>
      <c r="E145" s="10" t="s">
        <v>12</v>
      </c>
      <c r="F145" s="10" t="s">
        <v>14</v>
      </c>
      <c r="G145" s="10" t="s">
        <v>373</v>
      </c>
      <c r="H145" s="10" t="s">
        <v>269</v>
      </c>
      <c r="I145" s="10" t="s">
        <v>269</v>
      </c>
      <c r="J145" s="10">
        <v>33</v>
      </c>
      <c r="K145" s="11">
        <v>35</v>
      </c>
      <c r="L145" s="11">
        <v>1155</v>
      </c>
      <c r="M145" s="10" t="s">
        <v>75</v>
      </c>
      <c r="N145" s="10">
        <v>0</v>
      </c>
      <c r="O145" s="10">
        <v>5</v>
      </c>
      <c r="P145" s="10">
        <v>6</v>
      </c>
      <c r="Q145" s="10" t="s">
        <v>134</v>
      </c>
      <c r="R145" s="10" t="s">
        <v>84</v>
      </c>
      <c r="S145" s="10" t="s">
        <v>85</v>
      </c>
    </row>
    <row r="146" spans="1:19" x14ac:dyDescent="0.2">
      <c r="A146" s="8" t="s">
        <v>470</v>
      </c>
      <c r="B146" s="8">
        <v>10</v>
      </c>
      <c r="C146" s="8" t="s">
        <v>275</v>
      </c>
      <c r="D146" s="8">
        <v>2</v>
      </c>
      <c r="E146" s="8" t="s">
        <v>12</v>
      </c>
      <c r="F146" s="8" t="s">
        <v>14</v>
      </c>
      <c r="G146" s="8" t="s">
        <v>471</v>
      </c>
      <c r="H146" s="8" t="s">
        <v>472</v>
      </c>
      <c r="I146" s="8" t="s">
        <v>472</v>
      </c>
      <c r="J146" s="8">
        <v>37</v>
      </c>
      <c r="K146" s="9">
        <v>45</v>
      </c>
      <c r="L146" s="9">
        <v>1665</v>
      </c>
      <c r="M146" s="8" t="s">
        <v>75</v>
      </c>
      <c r="N146" s="8">
        <v>0</v>
      </c>
      <c r="O146" s="8">
        <v>5</v>
      </c>
      <c r="P146" s="8">
        <v>2</v>
      </c>
      <c r="Q146" s="8" t="s">
        <v>90</v>
      </c>
      <c r="R146" s="8" t="s">
        <v>91</v>
      </c>
      <c r="S146" s="8" t="s">
        <v>85</v>
      </c>
    </row>
    <row r="147" spans="1:19" x14ac:dyDescent="0.2">
      <c r="A147" s="10" t="s">
        <v>473</v>
      </c>
      <c r="B147" s="10">
        <v>24</v>
      </c>
      <c r="C147" s="10" t="s">
        <v>149</v>
      </c>
      <c r="D147" s="10">
        <v>10</v>
      </c>
      <c r="E147" s="10" t="s">
        <v>37</v>
      </c>
      <c r="F147" s="10" t="s">
        <v>10</v>
      </c>
      <c r="G147" s="10" t="s">
        <v>474</v>
      </c>
      <c r="H147" s="10" t="s">
        <v>300</v>
      </c>
      <c r="I147" s="10" t="s">
        <v>300</v>
      </c>
      <c r="J147" s="10">
        <v>46</v>
      </c>
      <c r="K147" s="11">
        <v>380</v>
      </c>
      <c r="L147" s="11">
        <v>17480</v>
      </c>
      <c r="M147" s="10" t="s">
        <v>75</v>
      </c>
      <c r="N147" s="10">
        <v>0</v>
      </c>
      <c r="O147" s="10">
        <v>10</v>
      </c>
      <c r="P147" s="10">
        <v>4</v>
      </c>
      <c r="Q147" s="10" t="s">
        <v>115</v>
      </c>
      <c r="R147" s="10" t="s">
        <v>84</v>
      </c>
      <c r="S147" s="10" t="s">
        <v>85</v>
      </c>
    </row>
    <row r="148" spans="1:19" x14ac:dyDescent="0.2">
      <c r="A148" s="8" t="s">
        <v>475</v>
      </c>
      <c r="B148" s="8">
        <v>8</v>
      </c>
      <c r="C148" s="8" t="s">
        <v>369</v>
      </c>
      <c r="D148" s="8">
        <v>2</v>
      </c>
      <c r="E148" s="8" t="s">
        <v>12</v>
      </c>
      <c r="F148" s="8" t="s">
        <v>14</v>
      </c>
      <c r="G148" s="8" t="s">
        <v>476</v>
      </c>
      <c r="H148" s="8" t="s">
        <v>477</v>
      </c>
      <c r="I148" s="8" t="s">
        <v>145</v>
      </c>
      <c r="J148" s="8">
        <v>35</v>
      </c>
      <c r="K148" s="9">
        <v>12</v>
      </c>
      <c r="L148" s="9">
        <v>420</v>
      </c>
      <c r="M148" s="8" t="s">
        <v>75</v>
      </c>
      <c r="N148" s="8">
        <v>7</v>
      </c>
      <c r="O148" s="8">
        <v>12</v>
      </c>
      <c r="P148" s="8">
        <v>8</v>
      </c>
      <c r="Q148" s="8" t="s">
        <v>147</v>
      </c>
      <c r="R148" s="8" t="s">
        <v>139</v>
      </c>
      <c r="S148" s="8" t="s">
        <v>78</v>
      </c>
    </row>
    <row r="149" spans="1:19" x14ac:dyDescent="0.2">
      <c r="A149" s="10" t="s">
        <v>478</v>
      </c>
      <c r="B149" s="10">
        <v>7</v>
      </c>
      <c r="C149" s="10" t="s">
        <v>125</v>
      </c>
      <c r="D149" s="10">
        <v>2</v>
      </c>
      <c r="E149" s="10" t="s">
        <v>12</v>
      </c>
      <c r="F149" s="10" t="s">
        <v>14</v>
      </c>
      <c r="G149" s="10" t="s">
        <v>416</v>
      </c>
      <c r="H149" s="10" t="s">
        <v>239</v>
      </c>
      <c r="I149" s="10" t="s">
        <v>239</v>
      </c>
      <c r="J149" s="10">
        <v>48</v>
      </c>
      <c r="K149" s="11">
        <v>18</v>
      </c>
      <c r="L149" s="11">
        <v>864</v>
      </c>
      <c r="M149" s="10" t="s">
        <v>75</v>
      </c>
      <c r="N149" s="10">
        <v>0</v>
      </c>
      <c r="O149" s="10">
        <v>5</v>
      </c>
      <c r="P149" s="10">
        <v>12</v>
      </c>
      <c r="Q149" s="10" t="s">
        <v>123</v>
      </c>
      <c r="R149" s="10" t="s">
        <v>77</v>
      </c>
      <c r="S149" s="10" t="s">
        <v>78</v>
      </c>
    </row>
    <row r="150" spans="1:19" x14ac:dyDescent="0.2">
      <c r="A150" s="8" t="s">
        <v>479</v>
      </c>
      <c r="B150" s="8">
        <v>2</v>
      </c>
      <c r="C150" s="8" t="s">
        <v>456</v>
      </c>
      <c r="D150" s="8">
        <v>1</v>
      </c>
      <c r="E150" s="8" t="s">
        <v>8</v>
      </c>
      <c r="F150" s="8" t="s">
        <v>10</v>
      </c>
      <c r="G150" s="8" t="s">
        <v>164</v>
      </c>
      <c r="H150" s="8" t="s">
        <v>189</v>
      </c>
      <c r="I150" s="8" t="s">
        <v>178</v>
      </c>
      <c r="J150" s="8">
        <v>5</v>
      </c>
      <c r="K150" s="9">
        <v>1200</v>
      </c>
      <c r="L150" s="9">
        <v>6000</v>
      </c>
      <c r="M150" s="8" t="s">
        <v>75</v>
      </c>
      <c r="N150" s="8">
        <v>4</v>
      </c>
      <c r="O150" s="8">
        <v>11</v>
      </c>
      <c r="P150" s="8">
        <v>12</v>
      </c>
      <c r="Q150" s="8" t="s">
        <v>123</v>
      </c>
      <c r="R150" s="8" t="s">
        <v>77</v>
      </c>
      <c r="S150" s="8" t="s">
        <v>78</v>
      </c>
    </row>
    <row r="151" spans="1:19" x14ac:dyDescent="0.2">
      <c r="A151" s="10" t="s">
        <v>480</v>
      </c>
      <c r="B151" s="10">
        <v>25</v>
      </c>
      <c r="C151" s="10" t="s">
        <v>295</v>
      </c>
      <c r="D151" s="10">
        <v>10</v>
      </c>
      <c r="E151" s="10" t="s">
        <v>37</v>
      </c>
      <c r="F151" s="10" t="s">
        <v>10</v>
      </c>
      <c r="G151" s="10" t="s">
        <v>74</v>
      </c>
      <c r="H151" s="10" t="s">
        <v>189</v>
      </c>
      <c r="I151" s="10" t="s">
        <v>189</v>
      </c>
      <c r="J151" s="10">
        <v>40</v>
      </c>
      <c r="K151" s="11">
        <v>420</v>
      </c>
      <c r="L151" s="11">
        <v>16800</v>
      </c>
      <c r="M151" s="10" t="s">
        <v>75</v>
      </c>
      <c r="N151" s="10">
        <v>0</v>
      </c>
      <c r="O151" s="10">
        <v>10</v>
      </c>
      <c r="P151" s="10">
        <v>12</v>
      </c>
      <c r="Q151" s="10" t="s">
        <v>123</v>
      </c>
      <c r="R151" s="10" t="s">
        <v>77</v>
      </c>
      <c r="S151" s="10" t="s">
        <v>78</v>
      </c>
    </row>
    <row r="152" spans="1:19" x14ac:dyDescent="0.2">
      <c r="A152" s="8" t="s">
        <v>481</v>
      </c>
      <c r="B152" s="8">
        <v>14</v>
      </c>
      <c r="C152" s="8" t="s">
        <v>157</v>
      </c>
      <c r="D152" s="8">
        <v>4</v>
      </c>
      <c r="E152" s="8" t="s">
        <v>18</v>
      </c>
      <c r="F152" s="8" t="s">
        <v>20</v>
      </c>
      <c r="G152" s="8" t="s">
        <v>373</v>
      </c>
      <c r="H152" s="8" t="s">
        <v>482</v>
      </c>
      <c r="I152" s="8" t="s">
        <v>482</v>
      </c>
      <c r="J152" s="8">
        <v>8</v>
      </c>
      <c r="K152" s="9">
        <v>30</v>
      </c>
      <c r="L152" s="9">
        <v>240</v>
      </c>
      <c r="M152" s="8" t="s">
        <v>75</v>
      </c>
      <c r="N152" s="8">
        <v>0</v>
      </c>
      <c r="O152" s="8">
        <v>3</v>
      </c>
      <c r="P152" s="8">
        <v>6</v>
      </c>
      <c r="Q152" s="8" t="s">
        <v>134</v>
      </c>
      <c r="R152" s="8" t="s">
        <v>84</v>
      </c>
      <c r="S152" s="8" t="s">
        <v>85</v>
      </c>
    </row>
    <row r="153" spans="1:19" x14ac:dyDescent="0.2">
      <c r="A153" s="10" t="s">
        <v>483</v>
      </c>
      <c r="B153" s="10">
        <v>21</v>
      </c>
      <c r="C153" s="10" t="s">
        <v>108</v>
      </c>
      <c r="D153" s="10">
        <v>11</v>
      </c>
      <c r="E153" s="10" t="s">
        <v>39</v>
      </c>
      <c r="F153" s="10" t="s">
        <v>41</v>
      </c>
      <c r="G153" s="10" t="s">
        <v>408</v>
      </c>
      <c r="H153" s="10" t="s">
        <v>269</v>
      </c>
      <c r="I153" s="10" t="s">
        <v>269</v>
      </c>
      <c r="J153" s="10">
        <v>43</v>
      </c>
      <c r="K153" s="11">
        <v>2800</v>
      </c>
      <c r="L153" s="11">
        <v>120400</v>
      </c>
      <c r="M153" s="10" t="s">
        <v>75</v>
      </c>
      <c r="N153" s="10">
        <v>0</v>
      </c>
      <c r="O153" s="10">
        <v>12</v>
      </c>
      <c r="P153" s="10">
        <v>6</v>
      </c>
      <c r="Q153" s="10" t="s">
        <v>134</v>
      </c>
      <c r="R153" s="10" t="s">
        <v>84</v>
      </c>
      <c r="S153" s="10" t="s">
        <v>85</v>
      </c>
    </row>
    <row r="154" spans="1:19" x14ac:dyDescent="0.2">
      <c r="A154" s="8" t="s">
        <v>484</v>
      </c>
      <c r="B154" s="8">
        <v>5</v>
      </c>
      <c r="C154" s="8" t="s">
        <v>87</v>
      </c>
      <c r="D154" s="8">
        <v>5</v>
      </c>
      <c r="E154" s="8" t="s">
        <v>22</v>
      </c>
      <c r="F154" s="8" t="s">
        <v>10</v>
      </c>
      <c r="G154" s="8" t="s">
        <v>205</v>
      </c>
      <c r="H154" s="8" t="s">
        <v>485</v>
      </c>
      <c r="I154" s="8" t="s">
        <v>485</v>
      </c>
      <c r="J154" s="8">
        <v>45</v>
      </c>
      <c r="K154" s="9">
        <v>250</v>
      </c>
      <c r="L154" s="9">
        <v>11250</v>
      </c>
      <c r="M154" s="8" t="s">
        <v>75</v>
      </c>
      <c r="N154" s="8">
        <v>0</v>
      </c>
      <c r="O154" s="8">
        <v>10</v>
      </c>
      <c r="P154" s="8">
        <v>7</v>
      </c>
      <c r="Q154" s="8" t="s">
        <v>138</v>
      </c>
      <c r="R154" s="8" t="s">
        <v>139</v>
      </c>
      <c r="S154" s="8" t="s">
        <v>78</v>
      </c>
    </row>
    <row r="155" spans="1:19" x14ac:dyDescent="0.2">
      <c r="A155" s="10" t="s">
        <v>486</v>
      </c>
      <c r="B155" s="10">
        <v>13</v>
      </c>
      <c r="C155" s="10" t="s">
        <v>141</v>
      </c>
      <c r="D155" s="10">
        <v>4</v>
      </c>
      <c r="E155" s="10" t="s">
        <v>18</v>
      </c>
      <c r="F155" s="10" t="s">
        <v>20</v>
      </c>
      <c r="G155" s="10" t="s">
        <v>487</v>
      </c>
      <c r="H155" s="10" t="s">
        <v>402</v>
      </c>
      <c r="I155" s="10" t="s">
        <v>402</v>
      </c>
      <c r="J155" s="10">
        <v>13</v>
      </c>
      <c r="K155" s="11">
        <v>65</v>
      </c>
      <c r="L155" s="11">
        <v>845</v>
      </c>
      <c r="M155" s="10" t="s">
        <v>75</v>
      </c>
      <c r="N155" s="10">
        <v>0</v>
      </c>
      <c r="O155" s="10">
        <v>3</v>
      </c>
      <c r="P155" s="10">
        <v>5</v>
      </c>
      <c r="Q155" s="10" t="s">
        <v>83</v>
      </c>
      <c r="R155" s="10" t="s">
        <v>84</v>
      </c>
      <c r="S155" s="10" t="s">
        <v>85</v>
      </c>
    </row>
    <row r="156" spans="1:19" x14ac:dyDescent="0.2">
      <c r="A156" s="8" t="s">
        <v>488</v>
      </c>
      <c r="B156" s="8">
        <v>11</v>
      </c>
      <c r="C156" s="8" t="s">
        <v>112</v>
      </c>
      <c r="D156" s="8">
        <v>4</v>
      </c>
      <c r="E156" s="8" t="s">
        <v>18</v>
      </c>
      <c r="F156" s="8" t="s">
        <v>20</v>
      </c>
      <c r="G156" s="8" t="s">
        <v>329</v>
      </c>
      <c r="H156" s="8" t="s">
        <v>442</v>
      </c>
      <c r="I156" s="8" t="s">
        <v>442</v>
      </c>
      <c r="J156" s="8">
        <v>25</v>
      </c>
      <c r="K156" s="9">
        <v>18</v>
      </c>
      <c r="L156" s="9">
        <v>450</v>
      </c>
      <c r="M156" s="8" t="s">
        <v>75</v>
      </c>
      <c r="N156" s="8">
        <v>0</v>
      </c>
      <c r="O156" s="8">
        <v>3</v>
      </c>
      <c r="P156" s="8">
        <v>8</v>
      </c>
      <c r="Q156" s="8" t="s">
        <v>147</v>
      </c>
      <c r="R156" s="8" t="s">
        <v>139</v>
      </c>
      <c r="S156" s="8" t="s">
        <v>78</v>
      </c>
    </row>
    <row r="157" spans="1:19" x14ac:dyDescent="0.2">
      <c r="A157" s="10" t="s">
        <v>489</v>
      </c>
      <c r="B157" s="10">
        <v>21</v>
      </c>
      <c r="C157" s="10" t="s">
        <v>108</v>
      </c>
      <c r="D157" s="10">
        <v>11</v>
      </c>
      <c r="E157" s="10" t="s">
        <v>39</v>
      </c>
      <c r="F157" s="10" t="s">
        <v>41</v>
      </c>
      <c r="G157" s="10" t="s">
        <v>177</v>
      </c>
      <c r="H157" s="10" t="s">
        <v>490</v>
      </c>
      <c r="I157" s="10" t="s">
        <v>490</v>
      </c>
      <c r="J157" s="10">
        <v>12</v>
      </c>
      <c r="K157" s="11">
        <v>2800</v>
      </c>
      <c r="L157" s="11">
        <v>33600</v>
      </c>
      <c r="M157" s="10" t="s">
        <v>75</v>
      </c>
      <c r="N157" s="10">
        <v>0</v>
      </c>
      <c r="O157" s="10">
        <v>12</v>
      </c>
      <c r="P157" s="10">
        <v>12</v>
      </c>
      <c r="Q157" s="10" t="s">
        <v>123</v>
      </c>
      <c r="R157" s="10" t="s">
        <v>77</v>
      </c>
      <c r="S157" s="10" t="s">
        <v>78</v>
      </c>
    </row>
    <row r="158" spans="1:19" x14ac:dyDescent="0.2">
      <c r="A158" s="8" t="s">
        <v>491</v>
      </c>
      <c r="B158" s="8">
        <v>14</v>
      </c>
      <c r="C158" s="8" t="s">
        <v>157</v>
      </c>
      <c r="D158" s="8">
        <v>4</v>
      </c>
      <c r="E158" s="8" t="s">
        <v>18</v>
      </c>
      <c r="F158" s="8" t="s">
        <v>20</v>
      </c>
      <c r="G158" s="8" t="s">
        <v>492</v>
      </c>
      <c r="H158" s="8" t="s">
        <v>493</v>
      </c>
      <c r="I158" s="8" t="s">
        <v>493</v>
      </c>
      <c r="J158" s="8">
        <v>26</v>
      </c>
      <c r="K158" s="9">
        <v>30</v>
      </c>
      <c r="L158" s="9">
        <v>780</v>
      </c>
      <c r="M158" s="8" t="s">
        <v>75</v>
      </c>
      <c r="N158" s="8">
        <v>0</v>
      </c>
      <c r="O158" s="8">
        <v>3</v>
      </c>
      <c r="P158" s="8">
        <v>11</v>
      </c>
      <c r="Q158" s="8" t="s">
        <v>76</v>
      </c>
      <c r="R158" s="8" t="s">
        <v>77</v>
      </c>
      <c r="S158" s="8" t="s">
        <v>78</v>
      </c>
    </row>
    <row r="159" spans="1:19" x14ac:dyDescent="0.2">
      <c r="A159" s="10" t="s">
        <v>494</v>
      </c>
      <c r="B159" s="10">
        <v>8</v>
      </c>
      <c r="C159" s="10" t="s">
        <v>369</v>
      </c>
      <c r="D159" s="10">
        <v>2</v>
      </c>
      <c r="E159" s="10" t="s">
        <v>12</v>
      </c>
      <c r="F159" s="10" t="s">
        <v>14</v>
      </c>
      <c r="G159" s="10" t="s">
        <v>495</v>
      </c>
      <c r="H159" s="10" t="s">
        <v>496</v>
      </c>
      <c r="I159" s="10" t="s">
        <v>496</v>
      </c>
      <c r="J159" s="10">
        <v>20</v>
      </c>
      <c r="K159" s="11">
        <v>12</v>
      </c>
      <c r="L159" s="11">
        <v>240</v>
      </c>
      <c r="M159" s="10" t="s">
        <v>75</v>
      </c>
      <c r="N159" s="10">
        <v>0</v>
      </c>
      <c r="O159" s="10">
        <v>5</v>
      </c>
      <c r="P159" s="10">
        <v>10</v>
      </c>
      <c r="Q159" s="10" t="s">
        <v>161</v>
      </c>
      <c r="R159" s="10" t="s">
        <v>77</v>
      </c>
      <c r="S159" s="10" t="s">
        <v>78</v>
      </c>
    </row>
    <row r="160" spans="1:19" x14ac:dyDescent="0.2">
      <c r="A160" s="8" t="s">
        <v>497</v>
      </c>
      <c r="B160" s="8">
        <v>6</v>
      </c>
      <c r="C160" s="8" t="s">
        <v>153</v>
      </c>
      <c r="D160" s="8">
        <v>2</v>
      </c>
      <c r="E160" s="8" t="s">
        <v>12</v>
      </c>
      <c r="F160" s="8" t="s">
        <v>14</v>
      </c>
      <c r="G160" s="8" t="s">
        <v>363</v>
      </c>
      <c r="H160" s="8" t="s">
        <v>487</v>
      </c>
      <c r="I160" s="8" t="s">
        <v>487</v>
      </c>
      <c r="J160" s="8">
        <v>38</v>
      </c>
      <c r="K160" s="9">
        <v>25</v>
      </c>
      <c r="L160" s="9">
        <v>950</v>
      </c>
      <c r="M160" s="8" t="s">
        <v>75</v>
      </c>
      <c r="N160" s="8">
        <v>0</v>
      </c>
      <c r="O160" s="8">
        <v>5</v>
      </c>
      <c r="P160" s="8">
        <v>5</v>
      </c>
      <c r="Q160" s="8" t="s">
        <v>83</v>
      </c>
      <c r="R160" s="8" t="s">
        <v>84</v>
      </c>
      <c r="S160" s="8" t="s">
        <v>85</v>
      </c>
    </row>
    <row r="161" spans="1:19" x14ac:dyDescent="0.2">
      <c r="A161" s="10" t="s">
        <v>498</v>
      </c>
      <c r="B161" s="10">
        <v>23</v>
      </c>
      <c r="C161" s="10" t="s">
        <v>168</v>
      </c>
      <c r="D161" s="10">
        <v>10</v>
      </c>
      <c r="E161" s="10" t="s">
        <v>37</v>
      </c>
      <c r="F161" s="10" t="s">
        <v>10</v>
      </c>
      <c r="G161" s="10" t="s">
        <v>229</v>
      </c>
      <c r="H161" s="10" t="s">
        <v>258</v>
      </c>
      <c r="I161" s="10" t="s">
        <v>258</v>
      </c>
      <c r="J161" s="10">
        <v>30</v>
      </c>
      <c r="K161" s="11">
        <v>25</v>
      </c>
      <c r="L161" s="11">
        <v>750</v>
      </c>
      <c r="M161" s="10" t="s">
        <v>75</v>
      </c>
      <c r="N161" s="10">
        <v>0</v>
      </c>
      <c r="O161" s="10">
        <v>10</v>
      </c>
      <c r="P161" s="10">
        <v>11</v>
      </c>
      <c r="Q161" s="10" t="s">
        <v>76</v>
      </c>
      <c r="R161" s="10" t="s">
        <v>77</v>
      </c>
      <c r="S161" s="10" t="s">
        <v>78</v>
      </c>
    </row>
    <row r="162" spans="1:19" x14ac:dyDescent="0.2">
      <c r="A162" s="8" t="s">
        <v>499</v>
      </c>
      <c r="B162" s="8">
        <v>19</v>
      </c>
      <c r="C162" s="8" t="s">
        <v>172</v>
      </c>
      <c r="D162" s="8">
        <v>6</v>
      </c>
      <c r="E162" s="8" t="s">
        <v>24</v>
      </c>
      <c r="F162" s="8" t="s">
        <v>26</v>
      </c>
      <c r="G162" s="8" t="s">
        <v>426</v>
      </c>
      <c r="H162" s="8" t="s">
        <v>500</v>
      </c>
      <c r="I162" s="8" t="s">
        <v>500</v>
      </c>
      <c r="J162" s="8">
        <v>14</v>
      </c>
      <c r="K162" s="9">
        <v>450</v>
      </c>
      <c r="L162" s="9">
        <v>6300</v>
      </c>
      <c r="M162" s="8" t="s">
        <v>75</v>
      </c>
      <c r="N162" s="8">
        <v>0</v>
      </c>
      <c r="O162" s="8">
        <v>15</v>
      </c>
      <c r="P162" s="8">
        <v>8</v>
      </c>
      <c r="Q162" s="8" t="s">
        <v>147</v>
      </c>
      <c r="R162" s="8" t="s">
        <v>139</v>
      </c>
      <c r="S162" s="8" t="s">
        <v>78</v>
      </c>
    </row>
    <row r="163" spans="1:19" x14ac:dyDescent="0.2">
      <c r="A163" s="10" t="s">
        <v>501</v>
      </c>
      <c r="B163" s="10">
        <v>17</v>
      </c>
      <c r="C163" s="10" t="s">
        <v>120</v>
      </c>
      <c r="D163" s="10">
        <v>6</v>
      </c>
      <c r="E163" s="10" t="s">
        <v>24</v>
      </c>
      <c r="F163" s="10" t="s">
        <v>26</v>
      </c>
      <c r="G163" s="10" t="s">
        <v>502</v>
      </c>
      <c r="H163" s="10" t="s">
        <v>296</v>
      </c>
      <c r="I163" s="10" t="s">
        <v>296</v>
      </c>
      <c r="J163" s="10">
        <v>48</v>
      </c>
      <c r="K163" s="11">
        <v>1200</v>
      </c>
      <c r="L163" s="11">
        <v>57600</v>
      </c>
      <c r="M163" s="10" t="s">
        <v>75</v>
      </c>
      <c r="N163" s="10">
        <v>0</v>
      </c>
      <c r="O163" s="10">
        <v>15</v>
      </c>
      <c r="P163" s="10">
        <v>9</v>
      </c>
      <c r="Q163" s="10" t="s">
        <v>221</v>
      </c>
      <c r="R163" s="10" t="s">
        <v>139</v>
      </c>
      <c r="S163" s="10" t="s">
        <v>78</v>
      </c>
    </row>
    <row r="164" spans="1:19" x14ac:dyDescent="0.2">
      <c r="A164" s="8" t="s">
        <v>503</v>
      </c>
      <c r="B164" s="8">
        <v>17</v>
      </c>
      <c r="C164" s="8" t="s">
        <v>120</v>
      </c>
      <c r="D164" s="8">
        <v>6</v>
      </c>
      <c r="E164" s="8" t="s">
        <v>24</v>
      </c>
      <c r="F164" s="8" t="s">
        <v>26</v>
      </c>
      <c r="G164" s="8" t="s">
        <v>186</v>
      </c>
      <c r="H164" s="8" t="s">
        <v>504</v>
      </c>
      <c r="I164" s="8" t="s">
        <v>504</v>
      </c>
      <c r="J164" s="8">
        <v>19</v>
      </c>
      <c r="K164" s="9">
        <v>1200</v>
      </c>
      <c r="L164" s="9">
        <v>22800</v>
      </c>
      <c r="M164" s="8" t="s">
        <v>75</v>
      </c>
      <c r="N164" s="8">
        <v>0</v>
      </c>
      <c r="O164" s="8">
        <v>15</v>
      </c>
      <c r="P164" s="8">
        <v>3</v>
      </c>
      <c r="Q164" s="8" t="s">
        <v>128</v>
      </c>
      <c r="R164" s="8" t="s">
        <v>91</v>
      </c>
      <c r="S164" s="8" t="s">
        <v>85</v>
      </c>
    </row>
    <row r="165" spans="1:19" x14ac:dyDescent="0.2">
      <c r="A165" s="10" t="s">
        <v>505</v>
      </c>
      <c r="B165" s="10">
        <v>22</v>
      </c>
      <c r="C165" s="10" t="s">
        <v>216</v>
      </c>
      <c r="D165" s="10">
        <v>11</v>
      </c>
      <c r="E165" s="10" t="s">
        <v>39</v>
      </c>
      <c r="F165" s="10" t="s">
        <v>41</v>
      </c>
      <c r="G165" s="10" t="s">
        <v>506</v>
      </c>
      <c r="H165" s="10" t="s">
        <v>220</v>
      </c>
      <c r="I165" s="10" t="s">
        <v>220</v>
      </c>
      <c r="J165" s="10">
        <v>40</v>
      </c>
      <c r="K165" s="11">
        <v>350</v>
      </c>
      <c r="L165" s="11">
        <v>14000</v>
      </c>
      <c r="M165" s="10" t="s">
        <v>75</v>
      </c>
      <c r="N165" s="10">
        <v>0</v>
      </c>
      <c r="O165" s="10">
        <v>12</v>
      </c>
      <c r="P165" s="10">
        <v>9</v>
      </c>
      <c r="Q165" s="10" t="s">
        <v>221</v>
      </c>
      <c r="R165" s="10" t="s">
        <v>139</v>
      </c>
      <c r="S165" s="10" t="s">
        <v>78</v>
      </c>
    </row>
    <row r="166" spans="1:19" x14ac:dyDescent="0.2">
      <c r="A166" s="8" t="s">
        <v>507</v>
      </c>
      <c r="B166" s="8">
        <v>15</v>
      </c>
      <c r="C166" s="8" t="s">
        <v>176</v>
      </c>
      <c r="D166" s="8">
        <v>14</v>
      </c>
      <c r="E166" s="8" t="s">
        <v>49</v>
      </c>
      <c r="F166" s="8" t="s">
        <v>20</v>
      </c>
      <c r="G166" s="8" t="s">
        <v>508</v>
      </c>
      <c r="H166" s="8" t="s">
        <v>509</v>
      </c>
      <c r="I166" s="8" t="s">
        <v>202</v>
      </c>
      <c r="J166" s="8">
        <v>49</v>
      </c>
      <c r="K166" s="9">
        <v>15</v>
      </c>
      <c r="L166" s="9">
        <v>735</v>
      </c>
      <c r="M166" s="8" t="s">
        <v>75</v>
      </c>
      <c r="N166" s="8">
        <v>2</v>
      </c>
      <c r="O166" s="8">
        <v>5</v>
      </c>
      <c r="P166" s="8">
        <v>6</v>
      </c>
      <c r="Q166" s="8" t="s">
        <v>134</v>
      </c>
      <c r="R166" s="8" t="s">
        <v>84</v>
      </c>
      <c r="S166" s="8" t="s">
        <v>85</v>
      </c>
    </row>
    <row r="167" spans="1:19" x14ac:dyDescent="0.2">
      <c r="A167" s="10" t="s">
        <v>510</v>
      </c>
      <c r="B167" s="10">
        <v>25</v>
      </c>
      <c r="C167" s="10" t="s">
        <v>295</v>
      </c>
      <c r="D167" s="10">
        <v>10</v>
      </c>
      <c r="E167" s="10" t="s">
        <v>37</v>
      </c>
      <c r="F167" s="10" t="s">
        <v>10</v>
      </c>
      <c r="G167" s="10" t="s">
        <v>315</v>
      </c>
      <c r="H167" s="10" t="s">
        <v>306</v>
      </c>
      <c r="I167" s="10" t="s">
        <v>306</v>
      </c>
      <c r="J167" s="10">
        <v>15</v>
      </c>
      <c r="K167" s="11">
        <v>420</v>
      </c>
      <c r="L167" s="11">
        <v>6300</v>
      </c>
      <c r="M167" s="10" t="s">
        <v>75</v>
      </c>
      <c r="N167" s="10">
        <v>0</v>
      </c>
      <c r="O167" s="10">
        <v>10</v>
      </c>
      <c r="P167" s="10">
        <v>4</v>
      </c>
      <c r="Q167" s="10" t="s">
        <v>115</v>
      </c>
      <c r="R167" s="10" t="s">
        <v>84</v>
      </c>
      <c r="S167" s="10" t="s">
        <v>85</v>
      </c>
    </row>
    <row r="168" spans="1:19" x14ac:dyDescent="0.2">
      <c r="A168" s="8" t="s">
        <v>511</v>
      </c>
      <c r="B168" s="8">
        <v>5</v>
      </c>
      <c r="C168" s="8" t="s">
        <v>87</v>
      </c>
      <c r="D168" s="8">
        <v>5</v>
      </c>
      <c r="E168" s="8" t="s">
        <v>22</v>
      </c>
      <c r="F168" s="8" t="s">
        <v>10</v>
      </c>
      <c r="G168" s="8" t="s">
        <v>504</v>
      </c>
      <c r="H168" s="8" t="s">
        <v>199</v>
      </c>
      <c r="I168" s="8" t="s">
        <v>113</v>
      </c>
      <c r="J168" s="8">
        <v>16</v>
      </c>
      <c r="K168" s="9">
        <v>250</v>
      </c>
      <c r="L168" s="9">
        <v>4000</v>
      </c>
      <c r="M168" s="8" t="s">
        <v>75</v>
      </c>
      <c r="N168" s="8">
        <v>1</v>
      </c>
      <c r="O168" s="8">
        <v>11</v>
      </c>
      <c r="P168" s="8">
        <v>4</v>
      </c>
      <c r="Q168" s="8" t="s">
        <v>115</v>
      </c>
      <c r="R168" s="8" t="s">
        <v>84</v>
      </c>
      <c r="S168" s="8" t="s">
        <v>85</v>
      </c>
    </row>
    <row r="169" spans="1:19" x14ac:dyDescent="0.2">
      <c r="A169" s="10" t="s">
        <v>512</v>
      </c>
      <c r="B169" s="10">
        <v>6</v>
      </c>
      <c r="C169" s="10" t="s">
        <v>153</v>
      </c>
      <c r="D169" s="10">
        <v>2</v>
      </c>
      <c r="E169" s="10" t="s">
        <v>12</v>
      </c>
      <c r="F169" s="10" t="s">
        <v>14</v>
      </c>
      <c r="G169" s="10" t="s">
        <v>513</v>
      </c>
      <c r="H169" s="10" t="s">
        <v>514</v>
      </c>
      <c r="I169" s="10" t="s">
        <v>514</v>
      </c>
      <c r="J169" s="10">
        <v>50</v>
      </c>
      <c r="K169" s="11">
        <v>25</v>
      </c>
      <c r="L169" s="11">
        <v>1250</v>
      </c>
      <c r="M169" s="10" t="s">
        <v>75</v>
      </c>
      <c r="N169" s="10">
        <v>0</v>
      </c>
      <c r="O169" s="10">
        <v>5</v>
      </c>
      <c r="P169" s="10">
        <v>8</v>
      </c>
      <c r="Q169" s="10" t="s">
        <v>147</v>
      </c>
      <c r="R169" s="10" t="s">
        <v>139</v>
      </c>
      <c r="S169" s="10" t="s">
        <v>78</v>
      </c>
    </row>
    <row r="170" spans="1:19" x14ac:dyDescent="0.2">
      <c r="A170" s="8" t="s">
        <v>515</v>
      </c>
      <c r="B170" s="8">
        <v>4</v>
      </c>
      <c r="C170" s="8" t="s">
        <v>93</v>
      </c>
      <c r="D170" s="8">
        <v>1</v>
      </c>
      <c r="E170" s="8" t="s">
        <v>8</v>
      </c>
      <c r="F170" s="8" t="s">
        <v>10</v>
      </c>
      <c r="G170" s="8" t="s">
        <v>422</v>
      </c>
      <c r="H170" s="8" t="s">
        <v>94</v>
      </c>
      <c r="I170" s="8" t="s">
        <v>94</v>
      </c>
      <c r="J170" s="8">
        <v>41</v>
      </c>
      <c r="K170" s="9">
        <v>80</v>
      </c>
      <c r="L170" s="9">
        <v>3280</v>
      </c>
      <c r="M170" s="8" t="s">
        <v>75</v>
      </c>
      <c r="N170" s="8">
        <v>0</v>
      </c>
      <c r="O170" s="8">
        <v>7</v>
      </c>
      <c r="P170" s="8">
        <v>2</v>
      </c>
      <c r="Q170" s="8" t="s">
        <v>90</v>
      </c>
      <c r="R170" s="8" t="s">
        <v>91</v>
      </c>
      <c r="S170" s="8" t="s">
        <v>85</v>
      </c>
    </row>
    <row r="171" spans="1:19" x14ac:dyDescent="0.2">
      <c r="A171" s="10" t="s">
        <v>516</v>
      </c>
      <c r="B171" s="10">
        <v>28</v>
      </c>
      <c r="C171" s="10" t="s">
        <v>71</v>
      </c>
      <c r="D171" s="10">
        <v>8</v>
      </c>
      <c r="E171" s="10" t="s">
        <v>31</v>
      </c>
      <c r="F171" s="10" t="s">
        <v>33</v>
      </c>
      <c r="G171" s="10" t="s">
        <v>517</v>
      </c>
      <c r="H171" s="10" t="s">
        <v>518</v>
      </c>
      <c r="I171" s="10" t="s">
        <v>326</v>
      </c>
      <c r="J171" s="10">
        <v>25</v>
      </c>
      <c r="K171" s="11">
        <v>120</v>
      </c>
      <c r="L171" s="11">
        <v>3000</v>
      </c>
      <c r="M171" s="10" t="s">
        <v>75</v>
      </c>
      <c r="N171" s="10">
        <v>6</v>
      </c>
      <c r="O171" s="10">
        <v>13</v>
      </c>
      <c r="P171" s="10">
        <v>10</v>
      </c>
      <c r="Q171" s="10" t="s">
        <v>161</v>
      </c>
      <c r="R171" s="10" t="s">
        <v>77</v>
      </c>
      <c r="S171" s="10" t="s">
        <v>78</v>
      </c>
    </row>
    <row r="172" spans="1:19" x14ac:dyDescent="0.2">
      <c r="A172" s="8" t="s">
        <v>519</v>
      </c>
      <c r="B172" s="8">
        <v>24</v>
      </c>
      <c r="C172" s="8" t="s">
        <v>149</v>
      </c>
      <c r="D172" s="8">
        <v>10</v>
      </c>
      <c r="E172" s="8" t="s">
        <v>37</v>
      </c>
      <c r="F172" s="8" t="s">
        <v>10</v>
      </c>
      <c r="G172" s="8" t="s">
        <v>249</v>
      </c>
      <c r="H172" s="8" t="s">
        <v>506</v>
      </c>
      <c r="I172" s="8" t="s">
        <v>506</v>
      </c>
      <c r="J172" s="8">
        <v>10</v>
      </c>
      <c r="K172" s="9">
        <v>380</v>
      </c>
      <c r="L172" s="9">
        <v>3800</v>
      </c>
      <c r="M172" s="8" t="s">
        <v>75</v>
      </c>
      <c r="N172" s="8">
        <v>0</v>
      </c>
      <c r="O172" s="8">
        <v>10</v>
      </c>
      <c r="P172" s="8">
        <v>9</v>
      </c>
      <c r="Q172" s="8" t="s">
        <v>221</v>
      </c>
      <c r="R172" s="8" t="s">
        <v>139</v>
      </c>
      <c r="S172" s="8" t="s">
        <v>78</v>
      </c>
    </row>
    <row r="173" spans="1:19" x14ac:dyDescent="0.2">
      <c r="A173" s="10" t="s">
        <v>520</v>
      </c>
      <c r="B173" s="10">
        <v>21</v>
      </c>
      <c r="C173" s="10" t="s">
        <v>108</v>
      </c>
      <c r="D173" s="10">
        <v>11</v>
      </c>
      <c r="E173" s="10" t="s">
        <v>39</v>
      </c>
      <c r="F173" s="10" t="s">
        <v>41</v>
      </c>
      <c r="G173" s="10" t="s">
        <v>521</v>
      </c>
      <c r="H173" s="10" t="s">
        <v>522</v>
      </c>
      <c r="I173" s="10" t="s">
        <v>522</v>
      </c>
      <c r="J173" s="10">
        <v>49</v>
      </c>
      <c r="K173" s="11">
        <v>2800</v>
      </c>
      <c r="L173" s="11">
        <v>137200</v>
      </c>
      <c r="M173" s="10" t="s">
        <v>75</v>
      </c>
      <c r="N173" s="10">
        <v>0</v>
      </c>
      <c r="O173" s="10">
        <v>12</v>
      </c>
      <c r="P173" s="10">
        <v>12</v>
      </c>
      <c r="Q173" s="10" t="s">
        <v>123</v>
      </c>
      <c r="R173" s="10" t="s">
        <v>77</v>
      </c>
      <c r="S173" s="10" t="s">
        <v>78</v>
      </c>
    </row>
    <row r="174" spans="1:19" x14ac:dyDescent="0.2">
      <c r="A174" s="8" t="s">
        <v>523</v>
      </c>
      <c r="B174" s="8">
        <v>28</v>
      </c>
      <c r="C174" s="8" t="s">
        <v>71</v>
      </c>
      <c r="D174" s="8">
        <v>8</v>
      </c>
      <c r="E174" s="8" t="s">
        <v>31</v>
      </c>
      <c r="F174" s="8" t="s">
        <v>33</v>
      </c>
      <c r="G174" s="8" t="s">
        <v>524</v>
      </c>
      <c r="H174" s="8" t="s">
        <v>525</v>
      </c>
      <c r="I174" s="8" t="s">
        <v>525</v>
      </c>
      <c r="J174" s="8">
        <v>15</v>
      </c>
      <c r="K174" s="9">
        <v>120</v>
      </c>
      <c r="L174" s="9">
        <v>1800</v>
      </c>
      <c r="M174" s="8" t="s">
        <v>75</v>
      </c>
      <c r="N174" s="8">
        <v>0</v>
      </c>
      <c r="O174" s="8">
        <v>7</v>
      </c>
      <c r="P174" s="8">
        <v>2</v>
      </c>
      <c r="Q174" s="8" t="s">
        <v>90</v>
      </c>
      <c r="R174" s="8" t="s">
        <v>91</v>
      </c>
      <c r="S174" s="8" t="s">
        <v>85</v>
      </c>
    </row>
    <row r="175" spans="1:19" x14ac:dyDescent="0.2">
      <c r="A175" s="10" t="s">
        <v>526</v>
      </c>
      <c r="B175" s="10">
        <v>9</v>
      </c>
      <c r="C175" s="10" t="s">
        <v>130</v>
      </c>
      <c r="D175" s="10">
        <v>2</v>
      </c>
      <c r="E175" s="10" t="s">
        <v>12</v>
      </c>
      <c r="F175" s="10" t="s">
        <v>14</v>
      </c>
      <c r="G175" s="10" t="s">
        <v>445</v>
      </c>
      <c r="H175" s="10" t="s">
        <v>291</v>
      </c>
      <c r="I175" s="10" t="s">
        <v>291</v>
      </c>
      <c r="J175" s="10">
        <v>45</v>
      </c>
      <c r="K175" s="11">
        <v>35</v>
      </c>
      <c r="L175" s="11">
        <v>1575</v>
      </c>
      <c r="M175" s="10" t="s">
        <v>75</v>
      </c>
      <c r="N175" s="10">
        <v>0</v>
      </c>
      <c r="O175" s="10">
        <v>5</v>
      </c>
      <c r="P175" s="10">
        <v>3</v>
      </c>
      <c r="Q175" s="10" t="s">
        <v>128</v>
      </c>
      <c r="R175" s="10" t="s">
        <v>91</v>
      </c>
      <c r="S175" s="10" t="s">
        <v>85</v>
      </c>
    </row>
    <row r="176" spans="1:19" x14ac:dyDescent="0.2">
      <c r="A176" s="8" t="s">
        <v>527</v>
      </c>
      <c r="B176" s="8">
        <v>20</v>
      </c>
      <c r="C176" s="8" t="s">
        <v>286</v>
      </c>
      <c r="D176" s="8">
        <v>6</v>
      </c>
      <c r="E176" s="8" t="s">
        <v>24</v>
      </c>
      <c r="F176" s="8" t="s">
        <v>26</v>
      </c>
      <c r="G176" s="8" t="s">
        <v>528</v>
      </c>
      <c r="H176" s="8" t="s">
        <v>495</v>
      </c>
      <c r="I176" s="8" t="s">
        <v>495</v>
      </c>
      <c r="J176" s="8">
        <v>36</v>
      </c>
      <c r="K176" s="9">
        <v>180</v>
      </c>
      <c r="L176" s="9">
        <v>6480</v>
      </c>
      <c r="M176" s="8" t="s">
        <v>75</v>
      </c>
      <c r="N176" s="8">
        <v>0</v>
      </c>
      <c r="O176" s="8">
        <v>15</v>
      </c>
      <c r="P176" s="8">
        <v>9</v>
      </c>
      <c r="Q176" s="8" t="s">
        <v>221</v>
      </c>
      <c r="R176" s="8" t="s">
        <v>139</v>
      </c>
      <c r="S176" s="8" t="s">
        <v>78</v>
      </c>
    </row>
    <row r="177" spans="1:19" x14ac:dyDescent="0.2">
      <c r="A177" s="10" t="s">
        <v>529</v>
      </c>
      <c r="B177" s="10">
        <v>30</v>
      </c>
      <c r="C177" s="10" t="s">
        <v>235</v>
      </c>
      <c r="D177" s="10">
        <v>3</v>
      </c>
      <c r="E177" s="10" t="s">
        <v>16</v>
      </c>
      <c r="F177" s="10" t="s">
        <v>14</v>
      </c>
      <c r="G177" s="10" t="s">
        <v>277</v>
      </c>
      <c r="H177" s="10" t="s">
        <v>82</v>
      </c>
      <c r="I177" s="10" t="s">
        <v>82</v>
      </c>
      <c r="J177" s="10">
        <v>8</v>
      </c>
      <c r="K177" s="11">
        <v>18</v>
      </c>
      <c r="L177" s="11">
        <v>144</v>
      </c>
      <c r="M177" s="10" t="s">
        <v>75</v>
      </c>
      <c r="N177" s="10">
        <v>0</v>
      </c>
      <c r="O177" s="10">
        <v>5</v>
      </c>
      <c r="P177" s="10">
        <v>5</v>
      </c>
      <c r="Q177" s="10" t="s">
        <v>83</v>
      </c>
      <c r="R177" s="10" t="s">
        <v>84</v>
      </c>
      <c r="S177" s="10" t="s">
        <v>85</v>
      </c>
    </row>
    <row r="178" spans="1:19" x14ac:dyDescent="0.2">
      <c r="A178" s="8" t="s">
        <v>530</v>
      </c>
      <c r="B178" s="8">
        <v>13</v>
      </c>
      <c r="C178" s="8" t="s">
        <v>141</v>
      </c>
      <c r="D178" s="8">
        <v>4</v>
      </c>
      <c r="E178" s="8" t="s">
        <v>18</v>
      </c>
      <c r="F178" s="8" t="s">
        <v>20</v>
      </c>
      <c r="G178" s="8" t="s">
        <v>531</v>
      </c>
      <c r="H178" s="8" t="s">
        <v>532</v>
      </c>
      <c r="I178" s="8" t="s">
        <v>146</v>
      </c>
      <c r="J178" s="8">
        <v>43</v>
      </c>
      <c r="K178" s="9">
        <v>65</v>
      </c>
      <c r="L178" s="9">
        <v>2795</v>
      </c>
      <c r="M178" s="8" t="s">
        <v>75</v>
      </c>
      <c r="N178" s="8">
        <v>4</v>
      </c>
      <c r="O178" s="8">
        <v>7</v>
      </c>
      <c r="P178" s="8">
        <v>8</v>
      </c>
      <c r="Q178" s="8" t="s">
        <v>147</v>
      </c>
      <c r="R178" s="8" t="s">
        <v>139</v>
      </c>
      <c r="S178" s="8" t="s">
        <v>78</v>
      </c>
    </row>
    <row r="179" spans="1:19" x14ac:dyDescent="0.2">
      <c r="A179" s="10" t="s">
        <v>533</v>
      </c>
      <c r="B179" s="10">
        <v>17</v>
      </c>
      <c r="C179" s="10" t="s">
        <v>120</v>
      </c>
      <c r="D179" s="10">
        <v>6</v>
      </c>
      <c r="E179" s="10" t="s">
        <v>24</v>
      </c>
      <c r="F179" s="10" t="s">
        <v>26</v>
      </c>
      <c r="G179" s="10" t="s">
        <v>266</v>
      </c>
      <c r="H179" s="10" t="s">
        <v>297</v>
      </c>
      <c r="I179" s="10" t="s">
        <v>297</v>
      </c>
      <c r="J179" s="10">
        <v>39</v>
      </c>
      <c r="K179" s="11">
        <v>1200</v>
      </c>
      <c r="L179" s="11">
        <v>46800</v>
      </c>
      <c r="M179" s="10" t="s">
        <v>75</v>
      </c>
      <c r="N179" s="10">
        <v>0</v>
      </c>
      <c r="O179" s="10">
        <v>15</v>
      </c>
      <c r="P179" s="10">
        <v>9</v>
      </c>
      <c r="Q179" s="10" t="s">
        <v>221</v>
      </c>
      <c r="R179" s="10" t="s">
        <v>139</v>
      </c>
      <c r="S179" s="10" t="s">
        <v>78</v>
      </c>
    </row>
    <row r="180" spans="1:19" x14ac:dyDescent="0.2">
      <c r="A180" s="8" t="s">
        <v>534</v>
      </c>
      <c r="B180" s="8">
        <v>7</v>
      </c>
      <c r="C180" s="8" t="s">
        <v>125</v>
      </c>
      <c r="D180" s="8">
        <v>2</v>
      </c>
      <c r="E180" s="8" t="s">
        <v>12</v>
      </c>
      <c r="F180" s="8" t="s">
        <v>14</v>
      </c>
      <c r="G180" s="8" t="s">
        <v>535</v>
      </c>
      <c r="H180" s="8" t="s">
        <v>536</v>
      </c>
      <c r="I180" s="8" t="s">
        <v>536</v>
      </c>
      <c r="J180" s="8">
        <v>29</v>
      </c>
      <c r="K180" s="9">
        <v>18</v>
      </c>
      <c r="L180" s="9">
        <v>522</v>
      </c>
      <c r="M180" s="8" t="s">
        <v>75</v>
      </c>
      <c r="N180" s="8">
        <v>0</v>
      </c>
      <c r="O180" s="8">
        <v>5</v>
      </c>
      <c r="P180" s="8">
        <v>6</v>
      </c>
      <c r="Q180" s="8" t="s">
        <v>134</v>
      </c>
      <c r="R180" s="8" t="s">
        <v>84</v>
      </c>
      <c r="S180" s="8" t="s">
        <v>85</v>
      </c>
    </row>
    <row r="181" spans="1:19" x14ac:dyDescent="0.2">
      <c r="A181" s="10" t="s">
        <v>537</v>
      </c>
      <c r="B181" s="10">
        <v>2</v>
      </c>
      <c r="C181" s="10" t="s">
        <v>456</v>
      </c>
      <c r="D181" s="10">
        <v>1</v>
      </c>
      <c r="E181" s="10" t="s">
        <v>8</v>
      </c>
      <c r="F181" s="10" t="s">
        <v>10</v>
      </c>
      <c r="G181" s="10" t="s">
        <v>434</v>
      </c>
      <c r="H181" s="10" t="s">
        <v>258</v>
      </c>
      <c r="I181" s="10" t="s">
        <v>258</v>
      </c>
      <c r="J181" s="10">
        <v>33</v>
      </c>
      <c r="K181" s="11">
        <v>1200</v>
      </c>
      <c r="L181" s="11">
        <v>39600</v>
      </c>
      <c r="M181" s="10" t="s">
        <v>75</v>
      </c>
      <c r="N181" s="10">
        <v>0</v>
      </c>
      <c r="O181" s="10">
        <v>7</v>
      </c>
      <c r="P181" s="10">
        <v>11</v>
      </c>
      <c r="Q181" s="10" t="s">
        <v>76</v>
      </c>
      <c r="R181" s="10" t="s">
        <v>77</v>
      </c>
      <c r="S181" s="10" t="s">
        <v>78</v>
      </c>
    </row>
    <row r="182" spans="1:19" x14ac:dyDescent="0.2">
      <c r="A182" s="8" t="s">
        <v>538</v>
      </c>
      <c r="B182" s="8">
        <v>27</v>
      </c>
      <c r="C182" s="8" t="s">
        <v>97</v>
      </c>
      <c r="D182" s="8">
        <v>8</v>
      </c>
      <c r="E182" s="8" t="s">
        <v>31</v>
      </c>
      <c r="F182" s="8" t="s">
        <v>33</v>
      </c>
      <c r="G182" s="8" t="s">
        <v>442</v>
      </c>
      <c r="H182" s="8" t="s">
        <v>539</v>
      </c>
      <c r="I182" s="8" t="s">
        <v>539</v>
      </c>
      <c r="J182" s="8">
        <v>36</v>
      </c>
      <c r="K182" s="9">
        <v>40</v>
      </c>
      <c r="L182" s="9">
        <v>1440</v>
      </c>
      <c r="M182" s="8" t="s">
        <v>75</v>
      </c>
      <c r="N182" s="8">
        <v>0</v>
      </c>
      <c r="O182" s="8">
        <v>7</v>
      </c>
      <c r="P182" s="8">
        <v>8</v>
      </c>
      <c r="Q182" s="8" t="s">
        <v>147</v>
      </c>
      <c r="R182" s="8" t="s">
        <v>139</v>
      </c>
      <c r="S182" s="8" t="s">
        <v>78</v>
      </c>
    </row>
    <row r="183" spans="1:19" x14ac:dyDescent="0.2">
      <c r="A183" s="10" t="s">
        <v>540</v>
      </c>
      <c r="B183" s="10">
        <v>23</v>
      </c>
      <c r="C183" s="10" t="s">
        <v>168</v>
      </c>
      <c r="D183" s="10">
        <v>10</v>
      </c>
      <c r="E183" s="10" t="s">
        <v>37</v>
      </c>
      <c r="F183" s="10" t="s">
        <v>10</v>
      </c>
      <c r="G183" s="10" t="s">
        <v>477</v>
      </c>
      <c r="H183" s="10" t="s">
        <v>541</v>
      </c>
      <c r="I183" s="10" t="s">
        <v>541</v>
      </c>
      <c r="J183" s="10">
        <v>48</v>
      </c>
      <c r="K183" s="11">
        <v>25</v>
      </c>
      <c r="L183" s="11">
        <v>1200</v>
      </c>
      <c r="M183" s="10" t="s">
        <v>75</v>
      </c>
      <c r="N183" s="10">
        <v>0</v>
      </c>
      <c r="O183" s="10">
        <v>10</v>
      </c>
      <c r="P183" s="10">
        <v>8</v>
      </c>
      <c r="Q183" s="10" t="s">
        <v>147</v>
      </c>
      <c r="R183" s="10" t="s">
        <v>139</v>
      </c>
      <c r="S183" s="10" t="s">
        <v>78</v>
      </c>
    </row>
    <row r="184" spans="1:19" x14ac:dyDescent="0.2">
      <c r="A184" s="8" t="s">
        <v>542</v>
      </c>
      <c r="B184" s="8">
        <v>6</v>
      </c>
      <c r="C184" s="8" t="s">
        <v>153</v>
      </c>
      <c r="D184" s="8">
        <v>2</v>
      </c>
      <c r="E184" s="8" t="s">
        <v>12</v>
      </c>
      <c r="F184" s="8" t="s">
        <v>14</v>
      </c>
      <c r="G184" s="8" t="s">
        <v>513</v>
      </c>
      <c r="H184" s="8" t="s">
        <v>514</v>
      </c>
      <c r="I184" s="8" t="s">
        <v>514</v>
      </c>
      <c r="J184" s="8">
        <v>49</v>
      </c>
      <c r="K184" s="9">
        <v>25</v>
      </c>
      <c r="L184" s="9">
        <v>1225</v>
      </c>
      <c r="M184" s="8" t="s">
        <v>75</v>
      </c>
      <c r="N184" s="8">
        <v>0</v>
      </c>
      <c r="O184" s="8">
        <v>5</v>
      </c>
      <c r="P184" s="8">
        <v>8</v>
      </c>
      <c r="Q184" s="8" t="s">
        <v>147</v>
      </c>
      <c r="R184" s="8" t="s">
        <v>139</v>
      </c>
      <c r="S184" s="8" t="s">
        <v>78</v>
      </c>
    </row>
    <row r="185" spans="1:19" x14ac:dyDescent="0.2">
      <c r="A185" s="10" t="s">
        <v>543</v>
      </c>
      <c r="B185" s="10">
        <v>10</v>
      </c>
      <c r="C185" s="10" t="s">
        <v>275</v>
      </c>
      <c r="D185" s="10">
        <v>2</v>
      </c>
      <c r="E185" s="10" t="s">
        <v>12</v>
      </c>
      <c r="F185" s="10" t="s">
        <v>14</v>
      </c>
      <c r="G185" s="10" t="s">
        <v>383</v>
      </c>
      <c r="H185" s="10" t="s">
        <v>307</v>
      </c>
      <c r="I185" s="10" t="s">
        <v>307</v>
      </c>
      <c r="J185" s="10">
        <v>18</v>
      </c>
      <c r="K185" s="11">
        <v>45</v>
      </c>
      <c r="L185" s="11">
        <v>810</v>
      </c>
      <c r="M185" s="10" t="s">
        <v>75</v>
      </c>
      <c r="N185" s="10">
        <v>0</v>
      </c>
      <c r="O185" s="10">
        <v>5</v>
      </c>
      <c r="P185" s="10">
        <v>5</v>
      </c>
      <c r="Q185" s="10" t="s">
        <v>83</v>
      </c>
      <c r="R185" s="10" t="s">
        <v>84</v>
      </c>
      <c r="S185" s="10" t="s">
        <v>85</v>
      </c>
    </row>
    <row r="186" spans="1:19" x14ac:dyDescent="0.2">
      <c r="A186" s="8" t="s">
        <v>544</v>
      </c>
      <c r="B186" s="8">
        <v>9</v>
      </c>
      <c r="C186" s="8" t="s">
        <v>130</v>
      </c>
      <c r="D186" s="8">
        <v>2</v>
      </c>
      <c r="E186" s="8" t="s">
        <v>12</v>
      </c>
      <c r="F186" s="8" t="s">
        <v>14</v>
      </c>
      <c r="G186" s="8" t="s">
        <v>545</v>
      </c>
      <c r="H186" s="8" t="s">
        <v>266</v>
      </c>
      <c r="I186" s="8" t="s">
        <v>266</v>
      </c>
      <c r="J186" s="8">
        <v>16</v>
      </c>
      <c r="K186" s="9">
        <v>35</v>
      </c>
      <c r="L186" s="9">
        <v>560</v>
      </c>
      <c r="M186" s="8" t="s">
        <v>75</v>
      </c>
      <c r="N186" s="8">
        <v>0</v>
      </c>
      <c r="O186" s="8">
        <v>5</v>
      </c>
      <c r="P186" s="8">
        <v>9</v>
      </c>
      <c r="Q186" s="8" t="s">
        <v>221</v>
      </c>
      <c r="R186" s="8" t="s">
        <v>139</v>
      </c>
      <c r="S186" s="8" t="s">
        <v>78</v>
      </c>
    </row>
    <row r="187" spans="1:19" x14ac:dyDescent="0.2">
      <c r="A187" s="10" t="s">
        <v>546</v>
      </c>
      <c r="B187" s="10">
        <v>11</v>
      </c>
      <c r="C187" s="10" t="s">
        <v>112</v>
      </c>
      <c r="D187" s="10">
        <v>4</v>
      </c>
      <c r="E187" s="10" t="s">
        <v>18</v>
      </c>
      <c r="F187" s="10" t="s">
        <v>20</v>
      </c>
      <c r="G187" s="10" t="s">
        <v>547</v>
      </c>
      <c r="H187" s="10" t="s">
        <v>242</v>
      </c>
      <c r="I187" s="10" t="s">
        <v>242</v>
      </c>
      <c r="J187" s="10">
        <v>46</v>
      </c>
      <c r="K187" s="11">
        <v>18</v>
      </c>
      <c r="L187" s="11">
        <v>828</v>
      </c>
      <c r="M187" s="10" t="s">
        <v>75</v>
      </c>
      <c r="N187" s="10">
        <v>0</v>
      </c>
      <c r="O187" s="10">
        <v>3</v>
      </c>
      <c r="P187" s="10">
        <v>5</v>
      </c>
      <c r="Q187" s="10" t="s">
        <v>83</v>
      </c>
      <c r="R187" s="10" t="s">
        <v>84</v>
      </c>
      <c r="S187" s="10" t="s">
        <v>85</v>
      </c>
    </row>
    <row r="188" spans="1:19" x14ac:dyDescent="0.2">
      <c r="A188" s="8" t="s">
        <v>548</v>
      </c>
      <c r="B188" s="8">
        <v>24</v>
      </c>
      <c r="C188" s="8" t="s">
        <v>149</v>
      </c>
      <c r="D188" s="8">
        <v>10</v>
      </c>
      <c r="E188" s="8" t="s">
        <v>37</v>
      </c>
      <c r="F188" s="8" t="s">
        <v>10</v>
      </c>
      <c r="G188" s="8" t="s">
        <v>363</v>
      </c>
      <c r="H188" s="8" t="s">
        <v>364</v>
      </c>
      <c r="I188" s="8" t="s">
        <v>364</v>
      </c>
      <c r="J188" s="8">
        <v>22</v>
      </c>
      <c r="K188" s="9">
        <v>380</v>
      </c>
      <c r="L188" s="9">
        <v>8360</v>
      </c>
      <c r="M188" s="8" t="s">
        <v>75</v>
      </c>
      <c r="N188" s="8">
        <v>0</v>
      </c>
      <c r="O188" s="8">
        <v>10</v>
      </c>
      <c r="P188" s="8">
        <v>5</v>
      </c>
      <c r="Q188" s="8" t="s">
        <v>83</v>
      </c>
      <c r="R188" s="8" t="s">
        <v>84</v>
      </c>
      <c r="S188" s="8" t="s">
        <v>85</v>
      </c>
    </row>
    <row r="189" spans="1:19" x14ac:dyDescent="0.2">
      <c r="A189" s="10" t="s">
        <v>549</v>
      </c>
      <c r="B189" s="10">
        <v>5</v>
      </c>
      <c r="C189" s="10" t="s">
        <v>87</v>
      </c>
      <c r="D189" s="10">
        <v>5</v>
      </c>
      <c r="E189" s="10" t="s">
        <v>22</v>
      </c>
      <c r="F189" s="10" t="s">
        <v>10</v>
      </c>
      <c r="G189" s="10" t="s">
        <v>482</v>
      </c>
      <c r="H189" s="10" t="s">
        <v>550</v>
      </c>
      <c r="I189" s="10" t="s">
        <v>550</v>
      </c>
      <c r="J189" s="10">
        <v>6</v>
      </c>
      <c r="K189" s="11">
        <v>250</v>
      </c>
      <c r="L189" s="11">
        <v>1500</v>
      </c>
      <c r="M189" s="10" t="s">
        <v>75</v>
      </c>
      <c r="N189" s="10">
        <v>0</v>
      </c>
      <c r="O189" s="10">
        <v>10</v>
      </c>
      <c r="P189" s="10">
        <v>6</v>
      </c>
      <c r="Q189" s="10" t="s">
        <v>134</v>
      </c>
      <c r="R189" s="10" t="s">
        <v>84</v>
      </c>
      <c r="S189" s="10" t="s">
        <v>85</v>
      </c>
    </row>
    <row r="190" spans="1:19" x14ac:dyDescent="0.2">
      <c r="A190" s="8" t="s">
        <v>551</v>
      </c>
      <c r="B190" s="8">
        <v>28</v>
      </c>
      <c r="C190" s="8" t="s">
        <v>71</v>
      </c>
      <c r="D190" s="8">
        <v>8</v>
      </c>
      <c r="E190" s="8" t="s">
        <v>31</v>
      </c>
      <c r="F190" s="8" t="s">
        <v>33</v>
      </c>
      <c r="G190" s="8" t="s">
        <v>552</v>
      </c>
      <c r="H190" s="8" t="s">
        <v>553</v>
      </c>
      <c r="I190" s="8" t="s">
        <v>554</v>
      </c>
      <c r="J190" s="8">
        <v>45</v>
      </c>
      <c r="K190" s="9">
        <v>120</v>
      </c>
      <c r="L190" s="9">
        <v>5400</v>
      </c>
      <c r="M190" s="8" t="s">
        <v>75</v>
      </c>
      <c r="N190" s="8">
        <v>4</v>
      </c>
      <c r="O190" s="8">
        <v>11</v>
      </c>
      <c r="P190" s="8">
        <v>3</v>
      </c>
      <c r="Q190" s="8" t="s">
        <v>128</v>
      </c>
      <c r="R190" s="8" t="s">
        <v>91</v>
      </c>
      <c r="S190" s="8" t="s">
        <v>85</v>
      </c>
    </row>
    <row r="191" spans="1:19" x14ac:dyDescent="0.2">
      <c r="A191" s="10" t="s">
        <v>555</v>
      </c>
      <c r="B191" s="10">
        <v>16</v>
      </c>
      <c r="C191" s="10" t="s">
        <v>201</v>
      </c>
      <c r="D191" s="10">
        <v>6</v>
      </c>
      <c r="E191" s="10" t="s">
        <v>24</v>
      </c>
      <c r="F191" s="10" t="s">
        <v>26</v>
      </c>
      <c r="G191" s="10" t="s">
        <v>556</v>
      </c>
      <c r="H191" s="10" t="s">
        <v>345</v>
      </c>
      <c r="I191" s="10" t="s">
        <v>345</v>
      </c>
      <c r="J191" s="10">
        <v>5</v>
      </c>
      <c r="K191" s="11">
        <v>850</v>
      </c>
      <c r="L191" s="11">
        <v>4250</v>
      </c>
      <c r="M191" s="10" t="s">
        <v>75</v>
      </c>
      <c r="N191" s="10">
        <v>0</v>
      </c>
      <c r="O191" s="10">
        <v>15</v>
      </c>
      <c r="P191" s="10">
        <v>3</v>
      </c>
      <c r="Q191" s="10" t="s">
        <v>128</v>
      </c>
      <c r="R191" s="10" t="s">
        <v>91</v>
      </c>
      <c r="S191" s="10" t="s">
        <v>85</v>
      </c>
    </row>
    <row r="192" spans="1:19" x14ac:dyDescent="0.2">
      <c r="A192" s="8" t="s">
        <v>557</v>
      </c>
      <c r="B192" s="8">
        <v>22</v>
      </c>
      <c r="C192" s="8" t="s">
        <v>216</v>
      </c>
      <c r="D192" s="8">
        <v>11</v>
      </c>
      <c r="E192" s="8" t="s">
        <v>39</v>
      </c>
      <c r="F192" s="8" t="s">
        <v>41</v>
      </c>
      <c r="G192" s="8" t="s">
        <v>558</v>
      </c>
      <c r="H192" s="8" t="s">
        <v>399</v>
      </c>
      <c r="I192" s="8" t="s">
        <v>399</v>
      </c>
      <c r="J192" s="8">
        <v>35</v>
      </c>
      <c r="K192" s="9">
        <v>350</v>
      </c>
      <c r="L192" s="9">
        <v>12250</v>
      </c>
      <c r="M192" s="8" t="s">
        <v>75</v>
      </c>
      <c r="N192" s="8">
        <v>0</v>
      </c>
      <c r="O192" s="8">
        <v>12</v>
      </c>
      <c r="P192" s="8">
        <v>7</v>
      </c>
      <c r="Q192" s="8" t="s">
        <v>138</v>
      </c>
      <c r="R192" s="8" t="s">
        <v>139</v>
      </c>
      <c r="S192" s="8" t="s">
        <v>78</v>
      </c>
    </row>
    <row r="193" spans="1:19" x14ac:dyDescent="0.2">
      <c r="A193" s="10" t="s">
        <v>559</v>
      </c>
      <c r="B193" s="10">
        <v>24</v>
      </c>
      <c r="C193" s="10" t="s">
        <v>149</v>
      </c>
      <c r="D193" s="10">
        <v>10</v>
      </c>
      <c r="E193" s="10" t="s">
        <v>37</v>
      </c>
      <c r="F193" s="10" t="s">
        <v>10</v>
      </c>
      <c r="G193" s="10" t="s">
        <v>541</v>
      </c>
      <c r="H193" s="10" t="s">
        <v>514</v>
      </c>
      <c r="I193" s="10" t="s">
        <v>514</v>
      </c>
      <c r="J193" s="10">
        <v>14</v>
      </c>
      <c r="K193" s="11">
        <v>380</v>
      </c>
      <c r="L193" s="11">
        <v>5320</v>
      </c>
      <c r="M193" s="10" t="s">
        <v>75</v>
      </c>
      <c r="N193" s="10">
        <v>0</v>
      </c>
      <c r="O193" s="10">
        <v>10</v>
      </c>
      <c r="P193" s="10">
        <v>8</v>
      </c>
      <c r="Q193" s="10" t="s">
        <v>147</v>
      </c>
      <c r="R193" s="10" t="s">
        <v>139</v>
      </c>
      <c r="S193" s="10" t="s">
        <v>78</v>
      </c>
    </row>
    <row r="194" spans="1:19" x14ac:dyDescent="0.2">
      <c r="A194" s="8" t="s">
        <v>560</v>
      </c>
      <c r="B194" s="8">
        <v>7</v>
      </c>
      <c r="C194" s="8" t="s">
        <v>125</v>
      </c>
      <c r="D194" s="8">
        <v>2</v>
      </c>
      <c r="E194" s="8" t="s">
        <v>12</v>
      </c>
      <c r="F194" s="8" t="s">
        <v>14</v>
      </c>
      <c r="G194" s="8" t="s">
        <v>329</v>
      </c>
      <c r="H194" s="8" t="s">
        <v>331</v>
      </c>
      <c r="I194" s="8" t="s">
        <v>331</v>
      </c>
      <c r="J194" s="8">
        <v>50</v>
      </c>
      <c r="K194" s="9">
        <v>18</v>
      </c>
      <c r="L194" s="9">
        <v>900</v>
      </c>
      <c r="M194" s="8" t="s">
        <v>75</v>
      </c>
      <c r="N194" s="8">
        <v>0</v>
      </c>
      <c r="O194" s="8">
        <v>5</v>
      </c>
      <c r="P194" s="8">
        <v>8</v>
      </c>
      <c r="Q194" s="8" t="s">
        <v>147</v>
      </c>
      <c r="R194" s="8" t="s">
        <v>139</v>
      </c>
      <c r="S194" s="8" t="s">
        <v>78</v>
      </c>
    </row>
    <row r="195" spans="1:19" x14ac:dyDescent="0.2">
      <c r="A195" s="10" t="s">
        <v>561</v>
      </c>
      <c r="B195" s="10">
        <v>2</v>
      </c>
      <c r="C195" s="10" t="s">
        <v>456</v>
      </c>
      <c r="D195" s="10">
        <v>1</v>
      </c>
      <c r="E195" s="10" t="s">
        <v>8</v>
      </c>
      <c r="F195" s="10" t="s">
        <v>10</v>
      </c>
      <c r="G195" s="10" t="s">
        <v>160</v>
      </c>
      <c r="H195" s="10" t="s">
        <v>214</v>
      </c>
      <c r="I195" s="10" t="s">
        <v>214</v>
      </c>
      <c r="J195" s="10">
        <v>2</v>
      </c>
      <c r="K195" s="11">
        <v>1200</v>
      </c>
      <c r="L195" s="11">
        <v>2400</v>
      </c>
      <c r="M195" s="10" t="s">
        <v>75</v>
      </c>
      <c r="N195" s="10">
        <v>0</v>
      </c>
      <c r="O195" s="10">
        <v>7</v>
      </c>
      <c r="P195" s="10">
        <v>10</v>
      </c>
      <c r="Q195" s="10" t="s">
        <v>161</v>
      </c>
      <c r="R195" s="10" t="s">
        <v>77</v>
      </c>
      <c r="S195" s="10" t="s">
        <v>78</v>
      </c>
    </row>
    <row r="196" spans="1:19" x14ac:dyDescent="0.2">
      <c r="A196" s="8" t="s">
        <v>562</v>
      </c>
      <c r="B196" s="8">
        <v>14</v>
      </c>
      <c r="C196" s="8" t="s">
        <v>157</v>
      </c>
      <c r="D196" s="8">
        <v>4</v>
      </c>
      <c r="E196" s="8" t="s">
        <v>18</v>
      </c>
      <c r="F196" s="8" t="s">
        <v>20</v>
      </c>
      <c r="G196" s="8" t="s">
        <v>517</v>
      </c>
      <c r="H196" s="8" t="s">
        <v>563</v>
      </c>
      <c r="I196" s="8" t="s">
        <v>563</v>
      </c>
      <c r="J196" s="8">
        <v>1</v>
      </c>
      <c r="K196" s="9">
        <v>30</v>
      </c>
      <c r="L196" s="9">
        <v>30</v>
      </c>
      <c r="M196" s="8" t="s">
        <v>75</v>
      </c>
      <c r="N196" s="8">
        <v>0</v>
      </c>
      <c r="O196" s="8">
        <v>3</v>
      </c>
      <c r="P196" s="8">
        <v>10</v>
      </c>
      <c r="Q196" s="8" t="s">
        <v>161</v>
      </c>
      <c r="R196" s="8" t="s">
        <v>77</v>
      </c>
      <c r="S196" s="8" t="s">
        <v>78</v>
      </c>
    </row>
    <row r="197" spans="1:19" x14ac:dyDescent="0.2">
      <c r="A197" s="10" t="s">
        <v>564</v>
      </c>
      <c r="B197" s="10">
        <v>2</v>
      </c>
      <c r="C197" s="10" t="s">
        <v>456</v>
      </c>
      <c r="D197" s="10">
        <v>1</v>
      </c>
      <c r="E197" s="10" t="s">
        <v>8</v>
      </c>
      <c r="F197" s="10" t="s">
        <v>10</v>
      </c>
      <c r="G197" s="10" t="s">
        <v>270</v>
      </c>
      <c r="H197" s="10" t="s">
        <v>565</v>
      </c>
      <c r="I197" s="10" t="s">
        <v>565</v>
      </c>
      <c r="J197" s="10">
        <v>25</v>
      </c>
      <c r="K197" s="11">
        <v>1200</v>
      </c>
      <c r="L197" s="11">
        <v>30000</v>
      </c>
      <c r="M197" s="10" t="s">
        <v>75</v>
      </c>
      <c r="N197" s="10">
        <v>0</v>
      </c>
      <c r="O197" s="10">
        <v>7</v>
      </c>
      <c r="P197" s="10">
        <v>6</v>
      </c>
      <c r="Q197" s="10" t="s">
        <v>134</v>
      </c>
      <c r="R197" s="10" t="s">
        <v>84</v>
      </c>
      <c r="S197" s="10" t="s">
        <v>85</v>
      </c>
    </row>
    <row r="198" spans="1:19" x14ac:dyDescent="0.2">
      <c r="A198" s="8" t="s">
        <v>566</v>
      </c>
      <c r="B198" s="8">
        <v>8</v>
      </c>
      <c r="C198" s="8" t="s">
        <v>369</v>
      </c>
      <c r="D198" s="8">
        <v>2</v>
      </c>
      <c r="E198" s="8" t="s">
        <v>12</v>
      </c>
      <c r="F198" s="8" t="s">
        <v>14</v>
      </c>
      <c r="G198" s="8" t="s">
        <v>448</v>
      </c>
      <c r="H198" s="8" t="s">
        <v>485</v>
      </c>
      <c r="I198" s="8" t="s">
        <v>485</v>
      </c>
      <c r="J198" s="8">
        <v>48</v>
      </c>
      <c r="K198" s="9">
        <v>12</v>
      </c>
      <c r="L198" s="9">
        <v>576</v>
      </c>
      <c r="M198" s="8" t="s">
        <v>75</v>
      </c>
      <c r="N198" s="8">
        <v>0</v>
      </c>
      <c r="O198" s="8">
        <v>5</v>
      </c>
      <c r="P198" s="8">
        <v>8</v>
      </c>
      <c r="Q198" s="8" t="s">
        <v>147</v>
      </c>
      <c r="R198" s="8" t="s">
        <v>139</v>
      </c>
      <c r="S198" s="8" t="s">
        <v>78</v>
      </c>
    </row>
    <row r="199" spans="1:19" x14ac:dyDescent="0.2">
      <c r="A199" s="10" t="s">
        <v>567</v>
      </c>
      <c r="B199" s="10">
        <v>9</v>
      </c>
      <c r="C199" s="10" t="s">
        <v>130</v>
      </c>
      <c r="D199" s="10">
        <v>2</v>
      </c>
      <c r="E199" s="10" t="s">
        <v>12</v>
      </c>
      <c r="F199" s="10" t="s">
        <v>14</v>
      </c>
      <c r="G199" s="10" t="s">
        <v>284</v>
      </c>
      <c r="H199" s="10" t="s">
        <v>366</v>
      </c>
      <c r="I199" s="10" t="s">
        <v>366</v>
      </c>
      <c r="J199" s="10">
        <v>15</v>
      </c>
      <c r="K199" s="11">
        <v>35</v>
      </c>
      <c r="L199" s="11">
        <v>525</v>
      </c>
      <c r="M199" s="10" t="s">
        <v>75</v>
      </c>
      <c r="N199" s="10">
        <v>0</v>
      </c>
      <c r="O199" s="10">
        <v>5</v>
      </c>
      <c r="P199" s="10">
        <v>10</v>
      </c>
      <c r="Q199" s="10" t="s">
        <v>161</v>
      </c>
      <c r="R199" s="10" t="s">
        <v>77</v>
      </c>
      <c r="S199" s="10" t="s">
        <v>78</v>
      </c>
    </row>
    <row r="200" spans="1:19" x14ac:dyDescent="0.2">
      <c r="A200" s="8" t="s">
        <v>568</v>
      </c>
      <c r="B200" s="8">
        <v>4</v>
      </c>
      <c r="C200" s="8" t="s">
        <v>93</v>
      </c>
      <c r="D200" s="8">
        <v>1</v>
      </c>
      <c r="E200" s="8" t="s">
        <v>8</v>
      </c>
      <c r="F200" s="8" t="s">
        <v>10</v>
      </c>
      <c r="G200" s="8" t="s">
        <v>334</v>
      </c>
      <c r="H200" s="8" t="s">
        <v>569</v>
      </c>
      <c r="I200" s="8" t="s">
        <v>569</v>
      </c>
      <c r="J200" s="8">
        <v>28</v>
      </c>
      <c r="K200" s="9">
        <v>80</v>
      </c>
      <c r="L200" s="9">
        <v>2240</v>
      </c>
      <c r="M200" s="8" t="s">
        <v>75</v>
      </c>
      <c r="N200" s="8">
        <v>0</v>
      </c>
      <c r="O200" s="8">
        <v>7</v>
      </c>
      <c r="P200" s="8">
        <v>9</v>
      </c>
      <c r="Q200" s="8" t="s">
        <v>221</v>
      </c>
      <c r="R200" s="8" t="s">
        <v>139</v>
      </c>
      <c r="S200" s="8" t="s">
        <v>78</v>
      </c>
    </row>
    <row r="201" spans="1:19" x14ac:dyDescent="0.2">
      <c r="A201" s="10" t="s">
        <v>570</v>
      </c>
      <c r="B201" s="10">
        <v>22</v>
      </c>
      <c r="C201" s="10" t="s">
        <v>216</v>
      </c>
      <c r="D201" s="10">
        <v>11</v>
      </c>
      <c r="E201" s="10" t="s">
        <v>39</v>
      </c>
      <c r="F201" s="10" t="s">
        <v>41</v>
      </c>
      <c r="G201" s="10" t="s">
        <v>514</v>
      </c>
      <c r="H201" s="10" t="s">
        <v>219</v>
      </c>
      <c r="I201" s="10" t="s">
        <v>506</v>
      </c>
      <c r="J201" s="10">
        <v>43</v>
      </c>
      <c r="K201" s="11">
        <v>350</v>
      </c>
      <c r="L201" s="11">
        <v>15050</v>
      </c>
      <c r="M201" s="10" t="s">
        <v>75</v>
      </c>
      <c r="N201" s="10">
        <v>3</v>
      </c>
      <c r="O201" s="10">
        <v>15</v>
      </c>
      <c r="P201" s="10">
        <v>9</v>
      </c>
      <c r="Q201" s="10" t="s">
        <v>221</v>
      </c>
      <c r="R201" s="10" t="s">
        <v>139</v>
      </c>
      <c r="S201" s="10" t="s">
        <v>78</v>
      </c>
    </row>
    <row r="202" spans="1:19" x14ac:dyDescent="0.2">
      <c r="A202" s="8" t="s">
        <v>571</v>
      </c>
      <c r="B202" s="8">
        <v>6</v>
      </c>
      <c r="C202" s="8" t="s">
        <v>153</v>
      </c>
      <c r="D202" s="8">
        <v>2</v>
      </c>
      <c r="E202" s="8" t="s">
        <v>12</v>
      </c>
      <c r="F202" s="8" t="s">
        <v>14</v>
      </c>
      <c r="G202" s="8" t="s">
        <v>522</v>
      </c>
      <c r="H202" s="8" t="s">
        <v>288</v>
      </c>
      <c r="I202" s="8" t="s">
        <v>288</v>
      </c>
      <c r="J202" s="8">
        <v>47</v>
      </c>
      <c r="K202" s="9">
        <v>25</v>
      </c>
      <c r="L202" s="9">
        <v>1175</v>
      </c>
      <c r="M202" s="8" t="s">
        <v>75</v>
      </c>
      <c r="N202" s="8">
        <v>0</v>
      </c>
      <c r="O202" s="8">
        <v>5</v>
      </c>
      <c r="P202" s="8">
        <v>12</v>
      </c>
      <c r="Q202" s="8" t="s">
        <v>123</v>
      </c>
      <c r="R202" s="8" t="s">
        <v>77</v>
      </c>
      <c r="S202" s="8" t="s">
        <v>78</v>
      </c>
    </row>
    <row r="203" spans="1:19" x14ac:dyDescent="0.2">
      <c r="A203" s="10" t="s">
        <v>572</v>
      </c>
      <c r="B203" s="10">
        <v>8</v>
      </c>
      <c r="C203" s="10" t="s">
        <v>369</v>
      </c>
      <c r="D203" s="10">
        <v>2</v>
      </c>
      <c r="E203" s="10" t="s">
        <v>12</v>
      </c>
      <c r="F203" s="10" t="s">
        <v>14</v>
      </c>
      <c r="G203" s="10" t="s">
        <v>127</v>
      </c>
      <c r="H203" s="10" t="s">
        <v>573</v>
      </c>
      <c r="I203" s="10" t="s">
        <v>573</v>
      </c>
      <c r="J203" s="10">
        <v>9</v>
      </c>
      <c r="K203" s="11">
        <v>12</v>
      </c>
      <c r="L203" s="11">
        <v>108</v>
      </c>
      <c r="M203" s="10" t="s">
        <v>75</v>
      </c>
      <c r="N203" s="10">
        <v>0</v>
      </c>
      <c r="O203" s="10">
        <v>5</v>
      </c>
      <c r="P203" s="10">
        <v>3</v>
      </c>
      <c r="Q203" s="10" t="s">
        <v>128</v>
      </c>
      <c r="R203" s="10" t="s">
        <v>91</v>
      </c>
      <c r="S203" s="10" t="s">
        <v>85</v>
      </c>
    </row>
    <row r="204" spans="1:19" x14ac:dyDescent="0.2">
      <c r="A204" s="8" t="s">
        <v>574</v>
      </c>
      <c r="B204" s="8">
        <v>26</v>
      </c>
      <c r="C204" s="8" t="s">
        <v>282</v>
      </c>
      <c r="D204" s="8">
        <v>8</v>
      </c>
      <c r="E204" s="8" t="s">
        <v>31</v>
      </c>
      <c r="F204" s="8" t="s">
        <v>33</v>
      </c>
      <c r="G204" s="8" t="s">
        <v>493</v>
      </c>
      <c r="H204" s="8" t="s">
        <v>106</v>
      </c>
      <c r="I204" s="8" t="s">
        <v>106</v>
      </c>
      <c r="J204" s="8">
        <v>26</v>
      </c>
      <c r="K204" s="9">
        <v>85</v>
      </c>
      <c r="L204" s="9">
        <v>2210</v>
      </c>
      <c r="M204" s="8" t="s">
        <v>75</v>
      </c>
      <c r="N204" s="8">
        <v>0</v>
      </c>
      <c r="O204" s="8">
        <v>7</v>
      </c>
      <c r="P204" s="8">
        <v>11</v>
      </c>
      <c r="Q204" s="8" t="s">
        <v>76</v>
      </c>
      <c r="R204" s="8" t="s">
        <v>77</v>
      </c>
      <c r="S204" s="8" t="s">
        <v>78</v>
      </c>
    </row>
    <row r="205" spans="1:19" x14ac:dyDescent="0.2">
      <c r="A205" s="10" t="s">
        <v>575</v>
      </c>
      <c r="B205" s="10">
        <v>30</v>
      </c>
      <c r="C205" s="10" t="s">
        <v>235</v>
      </c>
      <c r="D205" s="10">
        <v>3</v>
      </c>
      <c r="E205" s="10" t="s">
        <v>16</v>
      </c>
      <c r="F205" s="10" t="s">
        <v>14</v>
      </c>
      <c r="G205" s="10" t="s">
        <v>430</v>
      </c>
      <c r="H205" s="10" t="s">
        <v>104</v>
      </c>
      <c r="I205" s="10" t="s">
        <v>104</v>
      </c>
      <c r="J205" s="10">
        <v>2</v>
      </c>
      <c r="K205" s="11">
        <v>18</v>
      </c>
      <c r="L205" s="11">
        <v>36</v>
      </c>
      <c r="M205" s="10" t="s">
        <v>75</v>
      </c>
      <c r="N205" s="10">
        <v>0</v>
      </c>
      <c r="O205" s="10">
        <v>5</v>
      </c>
      <c r="P205" s="10">
        <v>10</v>
      </c>
      <c r="Q205" s="10" t="s">
        <v>161</v>
      </c>
      <c r="R205" s="10" t="s">
        <v>77</v>
      </c>
      <c r="S205" s="10" t="s">
        <v>78</v>
      </c>
    </row>
    <row r="206" spans="1:19" x14ac:dyDescent="0.2">
      <c r="A206" s="8" t="s">
        <v>576</v>
      </c>
      <c r="B206" s="8">
        <v>14</v>
      </c>
      <c r="C206" s="8" t="s">
        <v>157</v>
      </c>
      <c r="D206" s="8">
        <v>4</v>
      </c>
      <c r="E206" s="8" t="s">
        <v>18</v>
      </c>
      <c r="F206" s="8" t="s">
        <v>20</v>
      </c>
      <c r="G206" s="8" t="s">
        <v>577</v>
      </c>
      <c r="H206" s="8" t="s">
        <v>578</v>
      </c>
      <c r="I206" s="8" t="s">
        <v>578</v>
      </c>
      <c r="J206" s="8">
        <v>9</v>
      </c>
      <c r="K206" s="9">
        <v>30</v>
      </c>
      <c r="L206" s="9">
        <v>270</v>
      </c>
      <c r="M206" s="8" t="s">
        <v>75</v>
      </c>
      <c r="N206" s="8">
        <v>0</v>
      </c>
      <c r="O206" s="8">
        <v>3</v>
      </c>
      <c r="P206" s="8">
        <v>2</v>
      </c>
      <c r="Q206" s="8" t="s">
        <v>90</v>
      </c>
      <c r="R206" s="8" t="s">
        <v>91</v>
      </c>
      <c r="S206" s="8" t="s">
        <v>85</v>
      </c>
    </row>
    <row r="207" spans="1:19" x14ac:dyDescent="0.2">
      <c r="A207" s="10" t="s">
        <v>579</v>
      </c>
      <c r="B207" s="10">
        <v>17</v>
      </c>
      <c r="C207" s="10" t="s">
        <v>120</v>
      </c>
      <c r="D207" s="10">
        <v>6</v>
      </c>
      <c r="E207" s="10" t="s">
        <v>24</v>
      </c>
      <c r="F207" s="10" t="s">
        <v>26</v>
      </c>
      <c r="G207" s="10" t="s">
        <v>532</v>
      </c>
      <c r="H207" s="10" t="s">
        <v>580</v>
      </c>
      <c r="I207" s="10" t="s">
        <v>581</v>
      </c>
      <c r="J207" s="10">
        <v>25</v>
      </c>
      <c r="K207" s="11">
        <v>1200</v>
      </c>
      <c r="L207" s="11">
        <v>30000</v>
      </c>
      <c r="M207" s="10" t="s">
        <v>75</v>
      </c>
      <c r="N207" s="10">
        <v>3</v>
      </c>
      <c r="O207" s="10">
        <v>18</v>
      </c>
      <c r="P207" s="10">
        <v>8</v>
      </c>
      <c r="Q207" s="10" t="s">
        <v>147</v>
      </c>
      <c r="R207" s="10" t="s">
        <v>139</v>
      </c>
      <c r="S207" s="10" t="s">
        <v>78</v>
      </c>
    </row>
    <row r="208" spans="1:19" x14ac:dyDescent="0.2">
      <c r="A208" s="8" t="s">
        <v>582</v>
      </c>
      <c r="B208" s="8">
        <v>9</v>
      </c>
      <c r="C208" s="8" t="s">
        <v>130</v>
      </c>
      <c r="D208" s="8">
        <v>2</v>
      </c>
      <c r="E208" s="8" t="s">
        <v>12</v>
      </c>
      <c r="F208" s="8" t="s">
        <v>14</v>
      </c>
      <c r="G208" s="8" t="s">
        <v>536</v>
      </c>
      <c r="H208" s="8" t="s">
        <v>131</v>
      </c>
      <c r="I208" s="8" t="s">
        <v>131</v>
      </c>
      <c r="J208" s="8">
        <v>21</v>
      </c>
      <c r="K208" s="9">
        <v>35</v>
      </c>
      <c r="L208" s="9">
        <v>735</v>
      </c>
      <c r="M208" s="8" t="s">
        <v>75</v>
      </c>
      <c r="N208" s="8">
        <v>0</v>
      </c>
      <c r="O208" s="8">
        <v>5</v>
      </c>
      <c r="P208" s="8">
        <v>6</v>
      </c>
      <c r="Q208" s="8" t="s">
        <v>134</v>
      </c>
      <c r="R208" s="8" t="s">
        <v>84</v>
      </c>
      <c r="S208" s="8" t="s">
        <v>85</v>
      </c>
    </row>
    <row r="209" spans="1:19" x14ac:dyDescent="0.2">
      <c r="A209" s="10" t="s">
        <v>583</v>
      </c>
      <c r="B209" s="10">
        <v>17</v>
      </c>
      <c r="C209" s="10" t="s">
        <v>120</v>
      </c>
      <c r="D209" s="10">
        <v>6</v>
      </c>
      <c r="E209" s="10" t="s">
        <v>24</v>
      </c>
      <c r="F209" s="10" t="s">
        <v>26</v>
      </c>
      <c r="G209" s="10" t="s">
        <v>131</v>
      </c>
      <c r="H209" s="10" t="s">
        <v>565</v>
      </c>
      <c r="I209" s="10" t="s">
        <v>565</v>
      </c>
      <c r="J209" s="10">
        <v>25</v>
      </c>
      <c r="K209" s="11">
        <v>1200</v>
      </c>
      <c r="L209" s="11">
        <v>30000</v>
      </c>
      <c r="M209" s="10" t="s">
        <v>75</v>
      </c>
      <c r="N209" s="10">
        <v>0</v>
      </c>
      <c r="O209" s="10">
        <v>15</v>
      </c>
      <c r="P209" s="10">
        <v>6</v>
      </c>
      <c r="Q209" s="10" t="s">
        <v>134</v>
      </c>
      <c r="R209" s="10" t="s">
        <v>84</v>
      </c>
      <c r="S209" s="10" t="s">
        <v>85</v>
      </c>
    </row>
    <row r="210" spans="1:19" x14ac:dyDescent="0.2">
      <c r="A210" s="8" t="s">
        <v>584</v>
      </c>
      <c r="B210" s="8">
        <v>3</v>
      </c>
      <c r="C210" s="8" t="s">
        <v>254</v>
      </c>
      <c r="D210" s="8">
        <v>1</v>
      </c>
      <c r="E210" s="8" t="s">
        <v>8</v>
      </c>
      <c r="F210" s="8" t="s">
        <v>10</v>
      </c>
      <c r="G210" s="8" t="s">
        <v>462</v>
      </c>
      <c r="H210" s="8" t="s">
        <v>463</v>
      </c>
      <c r="I210" s="8" t="s">
        <v>463</v>
      </c>
      <c r="J210" s="8">
        <v>27</v>
      </c>
      <c r="K210" s="9">
        <v>150</v>
      </c>
      <c r="L210" s="9">
        <v>4050</v>
      </c>
      <c r="M210" s="8" t="s">
        <v>75</v>
      </c>
      <c r="N210" s="8">
        <v>0</v>
      </c>
      <c r="O210" s="8">
        <v>7</v>
      </c>
      <c r="P210" s="8">
        <v>5</v>
      </c>
      <c r="Q210" s="8" t="s">
        <v>83</v>
      </c>
      <c r="R210" s="8" t="s">
        <v>84</v>
      </c>
      <c r="S210" s="8" t="s">
        <v>85</v>
      </c>
    </row>
    <row r="211" spans="1:19" x14ac:dyDescent="0.2">
      <c r="A211" s="10" t="s">
        <v>585</v>
      </c>
      <c r="B211" s="10">
        <v>21</v>
      </c>
      <c r="C211" s="10" t="s">
        <v>108</v>
      </c>
      <c r="D211" s="10">
        <v>11</v>
      </c>
      <c r="E211" s="10" t="s">
        <v>39</v>
      </c>
      <c r="F211" s="10" t="s">
        <v>41</v>
      </c>
      <c r="G211" s="10" t="s">
        <v>459</v>
      </c>
      <c r="H211" s="10" t="s">
        <v>252</v>
      </c>
      <c r="I211" s="10" t="s">
        <v>252</v>
      </c>
      <c r="J211" s="10">
        <v>31</v>
      </c>
      <c r="K211" s="11">
        <v>2800</v>
      </c>
      <c r="L211" s="11">
        <v>86800</v>
      </c>
      <c r="M211" s="10" t="s">
        <v>75</v>
      </c>
      <c r="N211" s="10">
        <v>0</v>
      </c>
      <c r="O211" s="10">
        <v>12</v>
      </c>
      <c r="P211" s="10">
        <v>5</v>
      </c>
      <c r="Q211" s="10" t="s">
        <v>83</v>
      </c>
      <c r="R211" s="10" t="s">
        <v>84</v>
      </c>
      <c r="S211" s="10" t="s">
        <v>85</v>
      </c>
    </row>
    <row r="212" spans="1:19" x14ac:dyDescent="0.2">
      <c r="A212" s="8" t="s">
        <v>586</v>
      </c>
      <c r="B212" s="8">
        <v>21</v>
      </c>
      <c r="C212" s="8" t="s">
        <v>108</v>
      </c>
      <c r="D212" s="8">
        <v>11</v>
      </c>
      <c r="E212" s="8" t="s">
        <v>39</v>
      </c>
      <c r="F212" s="8" t="s">
        <v>41</v>
      </c>
      <c r="G212" s="8" t="s">
        <v>587</v>
      </c>
      <c r="H212" s="8" t="s">
        <v>588</v>
      </c>
      <c r="I212" s="8" t="s">
        <v>588</v>
      </c>
      <c r="J212" s="8">
        <v>4</v>
      </c>
      <c r="K212" s="9">
        <v>2800</v>
      </c>
      <c r="L212" s="9">
        <v>11200</v>
      </c>
      <c r="M212" s="8" t="s">
        <v>75</v>
      </c>
      <c r="N212" s="8">
        <v>0</v>
      </c>
      <c r="O212" s="8">
        <v>12</v>
      </c>
      <c r="P212" s="8">
        <v>1</v>
      </c>
      <c r="Q212" s="8" t="s">
        <v>101</v>
      </c>
      <c r="R212" s="8" t="s">
        <v>91</v>
      </c>
      <c r="S212" s="8" t="s">
        <v>85</v>
      </c>
    </row>
    <row r="213" spans="1:19" x14ac:dyDescent="0.2">
      <c r="A213" s="10" t="s">
        <v>589</v>
      </c>
      <c r="B213" s="10">
        <v>6</v>
      </c>
      <c r="C213" s="10" t="s">
        <v>153</v>
      </c>
      <c r="D213" s="10">
        <v>2</v>
      </c>
      <c r="E213" s="10" t="s">
        <v>12</v>
      </c>
      <c r="F213" s="10" t="s">
        <v>14</v>
      </c>
      <c r="G213" s="10" t="s">
        <v>457</v>
      </c>
      <c r="H213" s="10" t="s">
        <v>590</v>
      </c>
      <c r="I213" s="10" t="s">
        <v>590</v>
      </c>
      <c r="J213" s="10">
        <v>5</v>
      </c>
      <c r="K213" s="11">
        <v>25</v>
      </c>
      <c r="L213" s="11">
        <v>125</v>
      </c>
      <c r="M213" s="10" t="s">
        <v>75</v>
      </c>
      <c r="N213" s="10">
        <v>0</v>
      </c>
      <c r="O213" s="10">
        <v>5</v>
      </c>
      <c r="P213" s="10">
        <v>6</v>
      </c>
      <c r="Q213" s="10" t="s">
        <v>134</v>
      </c>
      <c r="R213" s="10" t="s">
        <v>84</v>
      </c>
      <c r="S213" s="10" t="s">
        <v>85</v>
      </c>
    </row>
    <row r="214" spans="1:19" x14ac:dyDescent="0.2">
      <c r="A214" s="8" t="s">
        <v>591</v>
      </c>
      <c r="B214" s="8">
        <v>29</v>
      </c>
      <c r="C214" s="8" t="s">
        <v>225</v>
      </c>
      <c r="D214" s="8">
        <v>3</v>
      </c>
      <c r="E214" s="8" t="s">
        <v>16</v>
      </c>
      <c r="F214" s="8" t="s">
        <v>14</v>
      </c>
      <c r="G214" s="8" t="s">
        <v>592</v>
      </c>
      <c r="H214" s="8" t="s">
        <v>163</v>
      </c>
      <c r="I214" s="8" t="s">
        <v>593</v>
      </c>
      <c r="J214" s="8">
        <v>16</v>
      </c>
      <c r="K214" s="9">
        <v>22</v>
      </c>
      <c r="L214" s="9">
        <v>352</v>
      </c>
      <c r="M214" s="8" t="s">
        <v>75</v>
      </c>
      <c r="N214" s="8">
        <v>1</v>
      </c>
      <c r="O214" s="8">
        <v>6</v>
      </c>
      <c r="P214" s="8">
        <v>11</v>
      </c>
      <c r="Q214" s="8" t="s">
        <v>76</v>
      </c>
      <c r="R214" s="8" t="s">
        <v>77</v>
      </c>
      <c r="S214" s="8" t="s">
        <v>78</v>
      </c>
    </row>
    <row r="215" spans="1:19" x14ac:dyDescent="0.2">
      <c r="A215" s="10" t="s">
        <v>594</v>
      </c>
      <c r="B215" s="10">
        <v>26</v>
      </c>
      <c r="C215" s="10" t="s">
        <v>282</v>
      </c>
      <c r="D215" s="10">
        <v>8</v>
      </c>
      <c r="E215" s="10" t="s">
        <v>31</v>
      </c>
      <c r="F215" s="10" t="s">
        <v>33</v>
      </c>
      <c r="G215" s="10" t="s">
        <v>299</v>
      </c>
      <c r="H215" s="10" t="s">
        <v>356</v>
      </c>
      <c r="I215" s="10" t="s">
        <v>356</v>
      </c>
      <c r="J215" s="10">
        <v>40</v>
      </c>
      <c r="K215" s="11">
        <v>85</v>
      </c>
      <c r="L215" s="11">
        <v>3400</v>
      </c>
      <c r="M215" s="10" t="s">
        <v>75</v>
      </c>
      <c r="N215" s="10">
        <v>0</v>
      </c>
      <c r="O215" s="10">
        <v>7</v>
      </c>
      <c r="P215" s="10">
        <v>4</v>
      </c>
      <c r="Q215" s="10" t="s">
        <v>115</v>
      </c>
      <c r="R215" s="10" t="s">
        <v>84</v>
      </c>
      <c r="S215" s="10" t="s">
        <v>85</v>
      </c>
    </row>
    <row r="216" spans="1:19" x14ac:dyDescent="0.2">
      <c r="A216" s="8" t="s">
        <v>595</v>
      </c>
      <c r="B216" s="8">
        <v>2</v>
      </c>
      <c r="C216" s="8" t="s">
        <v>456</v>
      </c>
      <c r="D216" s="8">
        <v>1</v>
      </c>
      <c r="E216" s="8" t="s">
        <v>8</v>
      </c>
      <c r="F216" s="8" t="s">
        <v>10</v>
      </c>
      <c r="G216" s="8" t="s">
        <v>556</v>
      </c>
      <c r="H216" s="8" t="s">
        <v>353</v>
      </c>
      <c r="I216" s="8" t="s">
        <v>353</v>
      </c>
      <c r="J216" s="8">
        <v>31</v>
      </c>
      <c r="K216" s="9">
        <v>1200</v>
      </c>
      <c r="L216" s="9">
        <v>37200</v>
      </c>
      <c r="M216" s="8" t="s">
        <v>75</v>
      </c>
      <c r="N216" s="8">
        <v>0</v>
      </c>
      <c r="O216" s="8">
        <v>7</v>
      </c>
      <c r="P216" s="8">
        <v>3</v>
      </c>
      <c r="Q216" s="8" t="s">
        <v>128</v>
      </c>
      <c r="R216" s="8" t="s">
        <v>91</v>
      </c>
      <c r="S216" s="8" t="s">
        <v>85</v>
      </c>
    </row>
    <row r="217" spans="1:19" x14ac:dyDescent="0.2">
      <c r="A217" s="10" t="s">
        <v>596</v>
      </c>
      <c r="B217" s="10">
        <v>9</v>
      </c>
      <c r="C217" s="10" t="s">
        <v>130</v>
      </c>
      <c r="D217" s="10">
        <v>2</v>
      </c>
      <c r="E217" s="10" t="s">
        <v>12</v>
      </c>
      <c r="F217" s="10" t="s">
        <v>14</v>
      </c>
      <c r="G217" s="10" t="s">
        <v>321</v>
      </c>
      <c r="H217" s="10" t="s">
        <v>522</v>
      </c>
      <c r="I217" s="10" t="s">
        <v>180</v>
      </c>
      <c r="J217" s="10">
        <v>30</v>
      </c>
      <c r="K217" s="11">
        <v>35</v>
      </c>
      <c r="L217" s="11">
        <v>1050</v>
      </c>
      <c r="M217" s="10" t="s">
        <v>75</v>
      </c>
      <c r="N217" s="10">
        <v>2</v>
      </c>
      <c r="O217" s="10">
        <v>7</v>
      </c>
      <c r="P217" s="10">
        <v>12</v>
      </c>
      <c r="Q217" s="10" t="s">
        <v>123</v>
      </c>
      <c r="R217" s="10" t="s">
        <v>77</v>
      </c>
      <c r="S217" s="10" t="s">
        <v>78</v>
      </c>
    </row>
    <row r="218" spans="1:19" x14ac:dyDescent="0.2">
      <c r="A218" s="8" t="s">
        <v>597</v>
      </c>
      <c r="B218" s="8">
        <v>27</v>
      </c>
      <c r="C218" s="8" t="s">
        <v>97</v>
      </c>
      <c r="D218" s="8">
        <v>8</v>
      </c>
      <c r="E218" s="8" t="s">
        <v>31</v>
      </c>
      <c r="F218" s="8" t="s">
        <v>33</v>
      </c>
      <c r="G218" s="8" t="s">
        <v>490</v>
      </c>
      <c r="H218" s="8" t="s">
        <v>598</v>
      </c>
      <c r="I218" s="8" t="s">
        <v>598</v>
      </c>
      <c r="J218" s="8">
        <v>24</v>
      </c>
      <c r="K218" s="9">
        <v>40</v>
      </c>
      <c r="L218" s="9">
        <v>960</v>
      </c>
      <c r="M218" s="8" t="s">
        <v>75</v>
      </c>
      <c r="N218" s="8">
        <v>0</v>
      </c>
      <c r="O218" s="8">
        <v>7</v>
      </c>
      <c r="P218" s="8">
        <v>12</v>
      </c>
      <c r="Q218" s="8" t="s">
        <v>123</v>
      </c>
      <c r="R218" s="8" t="s">
        <v>77</v>
      </c>
      <c r="S218" s="8" t="s">
        <v>78</v>
      </c>
    </row>
    <row r="219" spans="1:19" x14ac:dyDescent="0.2">
      <c r="A219" s="10" t="s">
        <v>599</v>
      </c>
      <c r="B219" s="10">
        <v>7</v>
      </c>
      <c r="C219" s="10" t="s">
        <v>125</v>
      </c>
      <c r="D219" s="10">
        <v>2</v>
      </c>
      <c r="E219" s="10" t="s">
        <v>12</v>
      </c>
      <c r="F219" s="10" t="s">
        <v>14</v>
      </c>
      <c r="G219" s="10" t="s">
        <v>353</v>
      </c>
      <c r="H219" s="10" t="s">
        <v>445</v>
      </c>
      <c r="I219" s="10" t="s">
        <v>445</v>
      </c>
      <c r="J219" s="10">
        <v>48</v>
      </c>
      <c r="K219" s="11">
        <v>18</v>
      </c>
      <c r="L219" s="11">
        <v>864</v>
      </c>
      <c r="M219" s="10" t="s">
        <v>75</v>
      </c>
      <c r="N219" s="10">
        <v>0</v>
      </c>
      <c r="O219" s="10">
        <v>5</v>
      </c>
      <c r="P219" s="10">
        <v>3</v>
      </c>
      <c r="Q219" s="10" t="s">
        <v>128</v>
      </c>
      <c r="R219" s="10" t="s">
        <v>91</v>
      </c>
      <c r="S219" s="10" t="s">
        <v>85</v>
      </c>
    </row>
    <row r="220" spans="1:19" x14ac:dyDescent="0.2">
      <c r="A220" s="8" t="s">
        <v>600</v>
      </c>
      <c r="B220" s="8">
        <v>14</v>
      </c>
      <c r="C220" s="8" t="s">
        <v>157</v>
      </c>
      <c r="D220" s="8">
        <v>4</v>
      </c>
      <c r="E220" s="8" t="s">
        <v>18</v>
      </c>
      <c r="F220" s="8" t="s">
        <v>20</v>
      </c>
      <c r="G220" s="8" t="s">
        <v>341</v>
      </c>
      <c r="H220" s="8" t="s">
        <v>525</v>
      </c>
      <c r="I220" s="8" t="s">
        <v>525</v>
      </c>
      <c r="J220" s="8">
        <v>11</v>
      </c>
      <c r="K220" s="9">
        <v>30</v>
      </c>
      <c r="L220" s="9">
        <v>330</v>
      </c>
      <c r="M220" s="8" t="s">
        <v>75</v>
      </c>
      <c r="N220" s="8">
        <v>0</v>
      </c>
      <c r="O220" s="8">
        <v>3</v>
      </c>
      <c r="P220" s="8">
        <v>2</v>
      </c>
      <c r="Q220" s="8" t="s">
        <v>90</v>
      </c>
      <c r="R220" s="8" t="s">
        <v>91</v>
      </c>
      <c r="S220" s="8" t="s">
        <v>85</v>
      </c>
    </row>
    <row r="221" spans="1:19" x14ac:dyDescent="0.2">
      <c r="A221" s="10" t="s">
        <v>601</v>
      </c>
      <c r="B221" s="10">
        <v>27</v>
      </c>
      <c r="C221" s="10" t="s">
        <v>97</v>
      </c>
      <c r="D221" s="10">
        <v>8</v>
      </c>
      <c r="E221" s="10" t="s">
        <v>31</v>
      </c>
      <c r="F221" s="10" t="s">
        <v>33</v>
      </c>
      <c r="G221" s="10" t="s">
        <v>602</v>
      </c>
      <c r="H221" s="10" t="s">
        <v>392</v>
      </c>
      <c r="I221" s="10" t="s">
        <v>536</v>
      </c>
      <c r="J221" s="10">
        <v>20</v>
      </c>
      <c r="K221" s="11">
        <v>40</v>
      </c>
      <c r="L221" s="11">
        <v>800</v>
      </c>
      <c r="M221" s="10" t="s">
        <v>75</v>
      </c>
      <c r="N221" s="10">
        <v>1</v>
      </c>
      <c r="O221" s="10">
        <v>8</v>
      </c>
      <c r="P221" s="10">
        <v>6</v>
      </c>
      <c r="Q221" s="10" t="s">
        <v>134</v>
      </c>
      <c r="R221" s="10" t="s">
        <v>84</v>
      </c>
      <c r="S221" s="10" t="s">
        <v>85</v>
      </c>
    </row>
    <row r="222" spans="1:19" x14ac:dyDescent="0.2">
      <c r="A222" s="8" t="s">
        <v>603</v>
      </c>
      <c r="B222" s="8">
        <v>2</v>
      </c>
      <c r="C222" s="8" t="s">
        <v>456</v>
      </c>
      <c r="D222" s="8">
        <v>1</v>
      </c>
      <c r="E222" s="8" t="s">
        <v>8</v>
      </c>
      <c r="F222" s="8" t="s">
        <v>10</v>
      </c>
      <c r="G222" s="8" t="s">
        <v>517</v>
      </c>
      <c r="H222" s="8" t="s">
        <v>518</v>
      </c>
      <c r="I222" s="8" t="s">
        <v>518</v>
      </c>
      <c r="J222" s="8">
        <v>25</v>
      </c>
      <c r="K222" s="9">
        <v>1200</v>
      </c>
      <c r="L222" s="9">
        <v>30000</v>
      </c>
      <c r="M222" s="8" t="s">
        <v>75</v>
      </c>
      <c r="N222" s="8">
        <v>0</v>
      </c>
      <c r="O222" s="8">
        <v>7</v>
      </c>
      <c r="P222" s="8">
        <v>10</v>
      </c>
      <c r="Q222" s="8" t="s">
        <v>161</v>
      </c>
      <c r="R222" s="8" t="s">
        <v>77</v>
      </c>
      <c r="S222" s="8" t="s">
        <v>78</v>
      </c>
    </row>
    <row r="223" spans="1:19" x14ac:dyDescent="0.2">
      <c r="A223" s="10" t="s">
        <v>604</v>
      </c>
      <c r="B223" s="10">
        <v>8</v>
      </c>
      <c r="C223" s="10" t="s">
        <v>369</v>
      </c>
      <c r="D223" s="10">
        <v>2</v>
      </c>
      <c r="E223" s="10" t="s">
        <v>12</v>
      </c>
      <c r="F223" s="10" t="s">
        <v>14</v>
      </c>
      <c r="G223" s="10" t="s">
        <v>264</v>
      </c>
      <c r="H223" s="10" t="s">
        <v>328</v>
      </c>
      <c r="I223" s="10" t="s">
        <v>328</v>
      </c>
      <c r="J223" s="10">
        <v>13</v>
      </c>
      <c r="K223" s="11">
        <v>12</v>
      </c>
      <c r="L223" s="11">
        <v>156</v>
      </c>
      <c r="M223" s="10" t="s">
        <v>75</v>
      </c>
      <c r="N223" s="10">
        <v>0</v>
      </c>
      <c r="O223" s="10">
        <v>5</v>
      </c>
      <c r="P223" s="10">
        <v>7</v>
      </c>
      <c r="Q223" s="10" t="s">
        <v>138</v>
      </c>
      <c r="R223" s="10" t="s">
        <v>139</v>
      </c>
      <c r="S223" s="10" t="s">
        <v>78</v>
      </c>
    </row>
    <row r="224" spans="1:19" x14ac:dyDescent="0.2">
      <c r="A224" s="8" t="s">
        <v>605</v>
      </c>
      <c r="B224" s="8">
        <v>4</v>
      </c>
      <c r="C224" s="8" t="s">
        <v>93</v>
      </c>
      <c r="D224" s="8">
        <v>1</v>
      </c>
      <c r="E224" s="8" t="s">
        <v>8</v>
      </c>
      <c r="F224" s="8" t="s">
        <v>10</v>
      </c>
      <c r="G224" s="8" t="s">
        <v>347</v>
      </c>
      <c r="H224" s="8" t="s">
        <v>578</v>
      </c>
      <c r="I224" s="8" t="s">
        <v>578</v>
      </c>
      <c r="J224" s="8">
        <v>41</v>
      </c>
      <c r="K224" s="9">
        <v>80</v>
      </c>
      <c r="L224" s="9">
        <v>3280</v>
      </c>
      <c r="M224" s="8" t="s">
        <v>75</v>
      </c>
      <c r="N224" s="8">
        <v>0</v>
      </c>
      <c r="O224" s="8">
        <v>7</v>
      </c>
      <c r="P224" s="8">
        <v>2</v>
      </c>
      <c r="Q224" s="8" t="s">
        <v>90</v>
      </c>
      <c r="R224" s="8" t="s">
        <v>91</v>
      </c>
      <c r="S224" s="8" t="s">
        <v>85</v>
      </c>
    </row>
    <row r="225" spans="1:19" x14ac:dyDescent="0.2">
      <c r="A225" s="10" t="s">
        <v>606</v>
      </c>
      <c r="B225" s="10">
        <v>20</v>
      </c>
      <c r="C225" s="10" t="s">
        <v>286</v>
      </c>
      <c r="D225" s="10">
        <v>6</v>
      </c>
      <c r="E225" s="10" t="s">
        <v>24</v>
      </c>
      <c r="F225" s="10" t="s">
        <v>26</v>
      </c>
      <c r="G225" s="10" t="s">
        <v>607</v>
      </c>
      <c r="H225" s="10" t="s">
        <v>608</v>
      </c>
      <c r="I225" s="10" t="s">
        <v>363</v>
      </c>
      <c r="J225" s="10">
        <v>20</v>
      </c>
      <c r="K225" s="11">
        <v>180</v>
      </c>
      <c r="L225" s="11">
        <v>3600</v>
      </c>
      <c r="M225" s="10" t="s">
        <v>75</v>
      </c>
      <c r="N225" s="10">
        <v>7</v>
      </c>
      <c r="O225" s="10">
        <v>22</v>
      </c>
      <c r="P225" s="10">
        <v>5</v>
      </c>
      <c r="Q225" s="10" t="s">
        <v>83</v>
      </c>
      <c r="R225" s="10" t="s">
        <v>84</v>
      </c>
      <c r="S225" s="10" t="s">
        <v>85</v>
      </c>
    </row>
    <row r="226" spans="1:19" x14ac:dyDescent="0.2">
      <c r="A226" s="8" t="s">
        <v>609</v>
      </c>
      <c r="B226" s="8">
        <v>12</v>
      </c>
      <c r="C226" s="8" t="s">
        <v>279</v>
      </c>
      <c r="D226" s="8">
        <v>4</v>
      </c>
      <c r="E226" s="8" t="s">
        <v>18</v>
      </c>
      <c r="F226" s="8" t="s">
        <v>20</v>
      </c>
      <c r="G226" s="8" t="s">
        <v>189</v>
      </c>
      <c r="H226" s="8" t="s">
        <v>610</v>
      </c>
      <c r="I226" s="8" t="s">
        <v>610</v>
      </c>
      <c r="J226" s="8">
        <v>8</v>
      </c>
      <c r="K226" s="9">
        <v>22</v>
      </c>
      <c r="L226" s="9">
        <v>176</v>
      </c>
      <c r="M226" s="8" t="s">
        <v>75</v>
      </c>
      <c r="N226" s="8">
        <v>0</v>
      </c>
      <c r="O226" s="8">
        <v>3</v>
      </c>
      <c r="P226" s="8">
        <v>12</v>
      </c>
      <c r="Q226" s="8" t="s">
        <v>123</v>
      </c>
      <c r="R226" s="8" t="s">
        <v>77</v>
      </c>
      <c r="S226" s="8" t="s">
        <v>78</v>
      </c>
    </row>
    <row r="227" spans="1:19" x14ac:dyDescent="0.2">
      <c r="A227" s="10" t="s">
        <v>611</v>
      </c>
      <c r="B227" s="10">
        <v>20</v>
      </c>
      <c r="C227" s="10" t="s">
        <v>286</v>
      </c>
      <c r="D227" s="10">
        <v>6</v>
      </c>
      <c r="E227" s="10" t="s">
        <v>24</v>
      </c>
      <c r="F227" s="10" t="s">
        <v>26</v>
      </c>
      <c r="G227" s="10" t="s">
        <v>367</v>
      </c>
      <c r="H227" s="10" t="s">
        <v>612</v>
      </c>
      <c r="I227" s="10" t="s">
        <v>612</v>
      </c>
      <c r="J227" s="10">
        <v>23</v>
      </c>
      <c r="K227" s="11">
        <v>180</v>
      </c>
      <c r="L227" s="11">
        <v>4140</v>
      </c>
      <c r="M227" s="10" t="s">
        <v>75</v>
      </c>
      <c r="N227" s="10">
        <v>0</v>
      </c>
      <c r="O227" s="10">
        <v>15</v>
      </c>
      <c r="P227" s="10">
        <v>10</v>
      </c>
      <c r="Q227" s="10" t="s">
        <v>161</v>
      </c>
      <c r="R227" s="10" t="s">
        <v>77</v>
      </c>
      <c r="S227" s="10" t="s">
        <v>78</v>
      </c>
    </row>
    <row r="228" spans="1:19" x14ac:dyDescent="0.2">
      <c r="A228" s="8" t="s">
        <v>613</v>
      </c>
      <c r="B228" s="8">
        <v>1</v>
      </c>
      <c r="C228" s="8" t="s">
        <v>80</v>
      </c>
      <c r="D228" s="8">
        <v>1</v>
      </c>
      <c r="E228" s="8" t="s">
        <v>8</v>
      </c>
      <c r="F228" s="8" t="s">
        <v>10</v>
      </c>
      <c r="G228" s="8" t="s">
        <v>283</v>
      </c>
      <c r="H228" s="8" t="s">
        <v>284</v>
      </c>
      <c r="I228" s="8" t="s">
        <v>284</v>
      </c>
      <c r="J228" s="8">
        <v>24</v>
      </c>
      <c r="K228" s="9">
        <v>3500</v>
      </c>
      <c r="L228" s="9">
        <v>84000</v>
      </c>
      <c r="M228" s="8" t="s">
        <v>75</v>
      </c>
      <c r="N228" s="8">
        <v>0</v>
      </c>
      <c r="O228" s="8">
        <v>7</v>
      </c>
      <c r="P228" s="8">
        <v>9</v>
      </c>
      <c r="Q228" s="8" t="s">
        <v>221</v>
      </c>
      <c r="R228" s="8" t="s">
        <v>139</v>
      </c>
      <c r="S228" s="8" t="s">
        <v>78</v>
      </c>
    </row>
    <row r="229" spans="1:19" x14ac:dyDescent="0.2">
      <c r="A229" s="10" t="s">
        <v>614</v>
      </c>
      <c r="B229" s="10">
        <v>20</v>
      </c>
      <c r="C229" s="10" t="s">
        <v>286</v>
      </c>
      <c r="D229" s="10">
        <v>6</v>
      </c>
      <c r="E229" s="10" t="s">
        <v>24</v>
      </c>
      <c r="F229" s="10" t="s">
        <v>26</v>
      </c>
      <c r="G229" s="10" t="s">
        <v>615</v>
      </c>
      <c r="H229" s="10" t="s">
        <v>151</v>
      </c>
      <c r="I229" s="10" t="s">
        <v>151</v>
      </c>
      <c r="J229" s="10">
        <v>22</v>
      </c>
      <c r="K229" s="11">
        <v>180</v>
      </c>
      <c r="L229" s="11">
        <v>3960</v>
      </c>
      <c r="M229" s="10" t="s">
        <v>75</v>
      </c>
      <c r="N229" s="10">
        <v>0</v>
      </c>
      <c r="O229" s="10">
        <v>15</v>
      </c>
      <c r="P229" s="10">
        <v>2</v>
      </c>
      <c r="Q229" s="10" t="s">
        <v>90</v>
      </c>
      <c r="R229" s="10" t="s">
        <v>91</v>
      </c>
      <c r="S229" s="10" t="s">
        <v>85</v>
      </c>
    </row>
    <row r="230" spans="1:19" x14ac:dyDescent="0.2">
      <c r="A230" s="8" t="s">
        <v>616</v>
      </c>
      <c r="B230" s="8">
        <v>10</v>
      </c>
      <c r="C230" s="8" t="s">
        <v>275</v>
      </c>
      <c r="D230" s="8">
        <v>2</v>
      </c>
      <c r="E230" s="8" t="s">
        <v>12</v>
      </c>
      <c r="F230" s="8" t="s">
        <v>14</v>
      </c>
      <c r="G230" s="8" t="s">
        <v>617</v>
      </c>
      <c r="H230" s="8" t="s">
        <v>618</v>
      </c>
      <c r="I230" s="8" t="s">
        <v>618</v>
      </c>
      <c r="J230" s="8">
        <v>32</v>
      </c>
      <c r="K230" s="9">
        <v>45</v>
      </c>
      <c r="L230" s="9">
        <v>1440</v>
      </c>
      <c r="M230" s="8" t="s">
        <v>75</v>
      </c>
      <c r="N230" s="8">
        <v>0</v>
      </c>
      <c r="O230" s="8">
        <v>5</v>
      </c>
      <c r="P230" s="8">
        <v>1</v>
      </c>
      <c r="Q230" s="8" t="s">
        <v>101</v>
      </c>
      <c r="R230" s="8" t="s">
        <v>91</v>
      </c>
      <c r="S230" s="8" t="s">
        <v>85</v>
      </c>
    </row>
    <row r="231" spans="1:19" x14ac:dyDescent="0.2">
      <c r="A231" s="10" t="s">
        <v>619</v>
      </c>
      <c r="B231" s="10">
        <v>3</v>
      </c>
      <c r="C231" s="10" t="s">
        <v>254</v>
      </c>
      <c r="D231" s="10">
        <v>1</v>
      </c>
      <c r="E231" s="10" t="s">
        <v>8</v>
      </c>
      <c r="F231" s="10" t="s">
        <v>10</v>
      </c>
      <c r="G231" s="10" t="s">
        <v>524</v>
      </c>
      <c r="H231" s="10" t="s">
        <v>525</v>
      </c>
      <c r="I231" s="10" t="s">
        <v>525</v>
      </c>
      <c r="J231" s="10">
        <v>24</v>
      </c>
      <c r="K231" s="11">
        <v>150</v>
      </c>
      <c r="L231" s="11">
        <v>3600</v>
      </c>
      <c r="M231" s="10" t="s">
        <v>75</v>
      </c>
      <c r="N231" s="10">
        <v>0</v>
      </c>
      <c r="O231" s="10">
        <v>7</v>
      </c>
      <c r="P231" s="10">
        <v>2</v>
      </c>
      <c r="Q231" s="10" t="s">
        <v>90</v>
      </c>
      <c r="R231" s="10" t="s">
        <v>91</v>
      </c>
      <c r="S231" s="10" t="s">
        <v>85</v>
      </c>
    </row>
    <row r="232" spans="1:19" x14ac:dyDescent="0.2">
      <c r="A232" s="8" t="s">
        <v>620</v>
      </c>
      <c r="B232" s="8">
        <v>29</v>
      </c>
      <c r="C232" s="8" t="s">
        <v>225</v>
      </c>
      <c r="D232" s="8">
        <v>3</v>
      </c>
      <c r="E232" s="8" t="s">
        <v>16</v>
      </c>
      <c r="F232" s="8" t="s">
        <v>14</v>
      </c>
      <c r="G232" s="8" t="s">
        <v>106</v>
      </c>
      <c r="H232" s="8" t="s">
        <v>621</v>
      </c>
      <c r="I232" s="8" t="s">
        <v>621</v>
      </c>
      <c r="J232" s="8">
        <v>30</v>
      </c>
      <c r="K232" s="9">
        <v>22</v>
      </c>
      <c r="L232" s="9">
        <v>660</v>
      </c>
      <c r="M232" s="8" t="s">
        <v>75</v>
      </c>
      <c r="N232" s="8">
        <v>0</v>
      </c>
      <c r="O232" s="8">
        <v>5</v>
      </c>
      <c r="P232" s="8">
        <v>11</v>
      </c>
      <c r="Q232" s="8" t="s">
        <v>76</v>
      </c>
      <c r="R232" s="8" t="s">
        <v>77</v>
      </c>
      <c r="S232" s="8" t="s">
        <v>78</v>
      </c>
    </row>
    <row r="233" spans="1:19" x14ac:dyDescent="0.2">
      <c r="A233" s="10" t="s">
        <v>622</v>
      </c>
      <c r="B233" s="10">
        <v>13</v>
      </c>
      <c r="C233" s="10" t="s">
        <v>141</v>
      </c>
      <c r="D233" s="10">
        <v>4</v>
      </c>
      <c r="E233" s="10" t="s">
        <v>18</v>
      </c>
      <c r="F233" s="10" t="s">
        <v>20</v>
      </c>
      <c r="G233" s="10" t="s">
        <v>417</v>
      </c>
      <c r="H233" s="10" t="s">
        <v>598</v>
      </c>
      <c r="I233" s="10" t="s">
        <v>623</v>
      </c>
      <c r="J233" s="10">
        <v>47</v>
      </c>
      <c r="K233" s="11">
        <v>65</v>
      </c>
      <c r="L233" s="11">
        <v>3055</v>
      </c>
      <c r="M233" s="10" t="s">
        <v>75</v>
      </c>
      <c r="N233" s="10">
        <v>2</v>
      </c>
      <c r="O233" s="10">
        <v>5</v>
      </c>
      <c r="P233" s="10">
        <v>12</v>
      </c>
      <c r="Q233" s="10" t="s">
        <v>123</v>
      </c>
      <c r="R233" s="10" t="s">
        <v>77</v>
      </c>
      <c r="S233" s="10" t="s">
        <v>78</v>
      </c>
    </row>
    <row r="234" spans="1:19" x14ac:dyDescent="0.2">
      <c r="A234" s="8" t="s">
        <v>624</v>
      </c>
      <c r="B234" s="8">
        <v>6</v>
      </c>
      <c r="C234" s="8" t="s">
        <v>153</v>
      </c>
      <c r="D234" s="8">
        <v>2</v>
      </c>
      <c r="E234" s="8" t="s">
        <v>12</v>
      </c>
      <c r="F234" s="8" t="s">
        <v>14</v>
      </c>
      <c r="G234" s="8" t="s">
        <v>625</v>
      </c>
      <c r="H234" s="8" t="s">
        <v>283</v>
      </c>
      <c r="I234" s="8" t="s">
        <v>283</v>
      </c>
      <c r="J234" s="8">
        <v>18</v>
      </c>
      <c r="K234" s="9">
        <v>25</v>
      </c>
      <c r="L234" s="9">
        <v>450</v>
      </c>
      <c r="M234" s="8" t="s">
        <v>75</v>
      </c>
      <c r="N234" s="8">
        <v>0</v>
      </c>
      <c r="O234" s="8">
        <v>5</v>
      </c>
      <c r="P234" s="8">
        <v>9</v>
      </c>
      <c r="Q234" s="8" t="s">
        <v>221</v>
      </c>
      <c r="R234" s="8" t="s">
        <v>139</v>
      </c>
      <c r="S234" s="8" t="s">
        <v>78</v>
      </c>
    </row>
    <row r="235" spans="1:19" x14ac:dyDescent="0.2">
      <c r="A235" s="10" t="s">
        <v>626</v>
      </c>
      <c r="B235" s="10">
        <v>18</v>
      </c>
      <c r="C235" s="10" t="s">
        <v>103</v>
      </c>
      <c r="D235" s="10">
        <v>6</v>
      </c>
      <c r="E235" s="10" t="s">
        <v>24</v>
      </c>
      <c r="F235" s="10" t="s">
        <v>26</v>
      </c>
      <c r="G235" s="10" t="s">
        <v>492</v>
      </c>
      <c r="H235" s="10" t="s">
        <v>621</v>
      </c>
      <c r="I235" s="10" t="s">
        <v>621</v>
      </c>
      <c r="J235" s="10">
        <v>35</v>
      </c>
      <c r="K235" s="11">
        <v>900</v>
      </c>
      <c r="L235" s="11">
        <v>31500</v>
      </c>
      <c r="M235" s="10" t="s">
        <v>75</v>
      </c>
      <c r="N235" s="10">
        <v>0</v>
      </c>
      <c r="O235" s="10">
        <v>15</v>
      </c>
      <c r="P235" s="10">
        <v>11</v>
      </c>
      <c r="Q235" s="10" t="s">
        <v>76</v>
      </c>
      <c r="R235" s="10" t="s">
        <v>77</v>
      </c>
      <c r="S235" s="10" t="s">
        <v>78</v>
      </c>
    </row>
    <row r="236" spans="1:19" x14ac:dyDescent="0.2">
      <c r="A236" s="8" t="s">
        <v>627</v>
      </c>
      <c r="B236" s="8">
        <v>1</v>
      </c>
      <c r="C236" s="8" t="s">
        <v>80</v>
      </c>
      <c r="D236" s="8">
        <v>1</v>
      </c>
      <c r="E236" s="8" t="s">
        <v>8</v>
      </c>
      <c r="F236" s="8" t="s">
        <v>10</v>
      </c>
      <c r="G236" s="8" t="s">
        <v>248</v>
      </c>
      <c r="H236" s="8" t="s">
        <v>581</v>
      </c>
      <c r="I236" s="8" t="s">
        <v>581</v>
      </c>
      <c r="J236" s="8">
        <v>47</v>
      </c>
      <c r="K236" s="9">
        <v>3500</v>
      </c>
      <c r="L236" s="9">
        <v>164500</v>
      </c>
      <c r="M236" s="8" t="s">
        <v>75</v>
      </c>
      <c r="N236" s="8">
        <v>0</v>
      </c>
      <c r="O236" s="8">
        <v>7</v>
      </c>
      <c r="P236" s="8">
        <v>9</v>
      </c>
      <c r="Q236" s="8" t="s">
        <v>221</v>
      </c>
      <c r="R236" s="8" t="s">
        <v>139</v>
      </c>
      <c r="S236" s="8" t="s">
        <v>78</v>
      </c>
    </row>
    <row r="237" spans="1:19" x14ac:dyDescent="0.2">
      <c r="A237" s="10" t="s">
        <v>628</v>
      </c>
      <c r="B237" s="10">
        <v>11</v>
      </c>
      <c r="C237" s="10" t="s">
        <v>112</v>
      </c>
      <c r="D237" s="10">
        <v>4</v>
      </c>
      <c r="E237" s="10" t="s">
        <v>18</v>
      </c>
      <c r="F237" s="10" t="s">
        <v>20</v>
      </c>
      <c r="G237" s="10" t="s">
        <v>430</v>
      </c>
      <c r="H237" s="10" t="s">
        <v>214</v>
      </c>
      <c r="I237" s="10" t="s">
        <v>214</v>
      </c>
      <c r="J237" s="10">
        <v>16</v>
      </c>
      <c r="K237" s="11">
        <v>18</v>
      </c>
      <c r="L237" s="11">
        <v>288</v>
      </c>
      <c r="M237" s="10" t="s">
        <v>75</v>
      </c>
      <c r="N237" s="10">
        <v>0</v>
      </c>
      <c r="O237" s="10">
        <v>3</v>
      </c>
      <c r="P237" s="10">
        <v>10</v>
      </c>
      <c r="Q237" s="10" t="s">
        <v>161</v>
      </c>
      <c r="R237" s="10" t="s">
        <v>77</v>
      </c>
      <c r="S237" s="10" t="s">
        <v>78</v>
      </c>
    </row>
    <row r="238" spans="1:19" x14ac:dyDescent="0.2">
      <c r="A238" s="8" t="s">
        <v>629</v>
      </c>
      <c r="B238" s="8">
        <v>1</v>
      </c>
      <c r="C238" s="8" t="s">
        <v>80</v>
      </c>
      <c r="D238" s="8">
        <v>1</v>
      </c>
      <c r="E238" s="8" t="s">
        <v>8</v>
      </c>
      <c r="F238" s="8" t="s">
        <v>10</v>
      </c>
      <c r="G238" s="8" t="s">
        <v>94</v>
      </c>
      <c r="H238" s="8" t="s">
        <v>95</v>
      </c>
      <c r="I238" s="8" t="s">
        <v>95</v>
      </c>
      <c r="J238" s="8">
        <v>29</v>
      </c>
      <c r="K238" s="9">
        <v>3500</v>
      </c>
      <c r="L238" s="9">
        <v>101500</v>
      </c>
      <c r="M238" s="8" t="s">
        <v>75</v>
      </c>
      <c r="N238" s="8">
        <v>0</v>
      </c>
      <c r="O238" s="8">
        <v>7</v>
      </c>
      <c r="P238" s="8">
        <v>2</v>
      </c>
      <c r="Q238" s="8" t="s">
        <v>90</v>
      </c>
      <c r="R238" s="8" t="s">
        <v>91</v>
      </c>
      <c r="S238" s="8" t="s">
        <v>85</v>
      </c>
    </row>
    <row r="239" spans="1:19" x14ac:dyDescent="0.2">
      <c r="A239" s="10" t="s">
        <v>630</v>
      </c>
      <c r="B239" s="10">
        <v>10</v>
      </c>
      <c r="C239" s="10" t="s">
        <v>275</v>
      </c>
      <c r="D239" s="10">
        <v>2</v>
      </c>
      <c r="E239" s="10" t="s">
        <v>12</v>
      </c>
      <c r="F239" s="10" t="s">
        <v>14</v>
      </c>
      <c r="G239" s="10" t="s">
        <v>607</v>
      </c>
      <c r="H239" s="10" t="s">
        <v>459</v>
      </c>
      <c r="I239" s="10" t="s">
        <v>459</v>
      </c>
      <c r="J239" s="10">
        <v>37</v>
      </c>
      <c r="K239" s="11">
        <v>45</v>
      </c>
      <c r="L239" s="11">
        <v>1665</v>
      </c>
      <c r="M239" s="10" t="s">
        <v>75</v>
      </c>
      <c r="N239" s="10">
        <v>0</v>
      </c>
      <c r="O239" s="10">
        <v>5</v>
      </c>
      <c r="P239" s="10">
        <v>5</v>
      </c>
      <c r="Q239" s="10" t="s">
        <v>83</v>
      </c>
      <c r="R239" s="10" t="s">
        <v>84</v>
      </c>
      <c r="S239" s="10" t="s">
        <v>85</v>
      </c>
    </row>
    <row r="240" spans="1:19" x14ac:dyDescent="0.2">
      <c r="A240" s="8" t="s">
        <v>631</v>
      </c>
      <c r="B240" s="8">
        <v>26</v>
      </c>
      <c r="C240" s="8" t="s">
        <v>282</v>
      </c>
      <c r="D240" s="8">
        <v>8</v>
      </c>
      <c r="E240" s="8" t="s">
        <v>31</v>
      </c>
      <c r="F240" s="8" t="s">
        <v>33</v>
      </c>
      <c r="G240" s="8" t="s">
        <v>632</v>
      </c>
      <c r="H240" s="8" t="s">
        <v>633</v>
      </c>
      <c r="I240" s="8" t="s">
        <v>633</v>
      </c>
      <c r="J240" s="8">
        <v>22</v>
      </c>
      <c r="K240" s="9">
        <v>85</v>
      </c>
      <c r="L240" s="9">
        <v>1870</v>
      </c>
      <c r="M240" s="8" t="s">
        <v>75</v>
      </c>
      <c r="N240" s="8">
        <v>0</v>
      </c>
      <c r="O240" s="8">
        <v>7</v>
      </c>
      <c r="P240" s="8">
        <v>11</v>
      </c>
      <c r="Q240" s="8" t="s">
        <v>76</v>
      </c>
      <c r="R240" s="8" t="s">
        <v>77</v>
      </c>
      <c r="S240" s="8" t="s">
        <v>78</v>
      </c>
    </row>
    <row r="241" spans="1:19" x14ac:dyDescent="0.2">
      <c r="A241" s="10" t="s">
        <v>634</v>
      </c>
      <c r="B241" s="10">
        <v>16</v>
      </c>
      <c r="C241" s="10" t="s">
        <v>201</v>
      </c>
      <c r="D241" s="10">
        <v>6</v>
      </c>
      <c r="E241" s="10" t="s">
        <v>24</v>
      </c>
      <c r="F241" s="10" t="s">
        <v>26</v>
      </c>
      <c r="G241" s="10" t="s">
        <v>635</v>
      </c>
      <c r="H241" s="10" t="s">
        <v>636</v>
      </c>
      <c r="I241" s="10" t="s">
        <v>636</v>
      </c>
      <c r="J241" s="10">
        <v>21</v>
      </c>
      <c r="K241" s="11">
        <v>850</v>
      </c>
      <c r="L241" s="11">
        <v>17850</v>
      </c>
      <c r="M241" s="10" t="s">
        <v>75</v>
      </c>
      <c r="N241" s="10">
        <v>0</v>
      </c>
      <c r="O241" s="10">
        <v>15</v>
      </c>
      <c r="P241" s="10">
        <v>1</v>
      </c>
      <c r="Q241" s="10" t="s">
        <v>101</v>
      </c>
      <c r="R241" s="10" t="s">
        <v>91</v>
      </c>
      <c r="S241" s="10" t="s">
        <v>85</v>
      </c>
    </row>
    <row r="242" spans="1:19" x14ac:dyDescent="0.2">
      <c r="A242" s="8" t="s">
        <v>637</v>
      </c>
      <c r="B242" s="8">
        <v>8</v>
      </c>
      <c r="C242" s="8" t="s">
        <v>369</v>
      </c>
      <c r="D242" s="8">
        <v>2</v>
      </c>
      <c r="E242" s="8" t="s">
        <v>12</v>
      </c>
      <c r="F242" s="8" t="s">
        <v>14</v>
      </c>
      <c r="G242" s="8" t="s">
        <v>345</v>
      </c>
      <c r="H242" s="8" t="s">
        <v>256</v>
      </c>
      <c r="I242" s="8" t="s">
        <v>256</v>
      </c>
      <c r="J242" s="8">
        <v>23</v>
      </c>
      <c r="K242" s="9">
        <v>12</v>
      </c>
      <c r="L242" s="9">
        <v>276</v>
      </c>
      <c r="M242" s="8" t="s">
        <v>75</v>
      </c>
      <c r="N242" s="8">
        <v>0</v>
      </c>
      <c r="O242" s="8">
        <v>5</v>
      </c>
      <c r="P242" s="8">
        <v>4</v>
      </c>
      <c r="Q242" s="8" t="s">
        <v>115</v>
      </c>
      <c r="R242" s="8" t="s">
        <v>84</v>
      </c>
      <c r="S242" s="8" t="s">
        <v>85</v>
      </c>
    </row>
    <row r="243" spans="1:19" x14ac:dyDescent="0.2">
      <c r="A243" s="10" t="s">
        <v>638</v>
      </c>
      <c r="B243" s="10">
        <v>3</v>
      </c>
      <c r="C243" s="10" t="s">
        <v>254</v>
      </c>
      <c r="D243" s="10">
        <v>1</v>
      </c>
      <c r="E243" s="10" t="s">
        <v>8</v>
      </c>
      <c r="F243" s="10" t="s">
        <v>10</v>
      </c>
      <c r="G243" s="10" t="s">
        <v>82</v>
      </c>
      <c r="H243" s="10" t="s">
        <v>608</v>
      </c>
      <c r="I243" s="10" t="s">
        <v>608</v>
      </c>
      <c r="J243" s="10">
        <v>39</v>
      </c>
      <c r="K243" s="11">
        <v>150</v>
      </c>
      <c r="L243" s="11">
        <v>5850</v>
      </c>
      <c r="M243" s="10" t="s">
        <v>75</v>
      </c>
      <c r="N243" s="10">
        <v>0</v>
      </c>
      <c r="O243" s="10">
        <v>7</v>
      </c>
      <c r="P243" s="10">
        <v>5</v>
      </c>
      <c r="Q243" s="10" t="s">
        <v>83</v>
      </c>
      <c r="R243" s="10" t="s">
        <v>84</v>
      </c>
      <c r="S243" s="10" t="s">
        <v>85</v>
      </c>
    </row>
    <row r="244" spans="1:19" x14ac:dyDescent="0.2">
      <c r="A244" s="8" t="s">
        <v>639</v>
      </c>
      <c r="B244" s="8">
        <v>25</v>
      </c>
      <c r="C244" s="8" t="s">
        <v>295</v>
      </c>
      <c r="D244" s="8">
        <v>10</v>
      </c>
      <c r="E244" s="8" t="s">
        <v>37</v>
      </c>
      <c r="F244" s="8" t="s">
        <v>10</v>
      </c>
      <c r="G244" s="8" t="s">
        <v>640</v>
      </c>
      <c r="H244" s="8" t="s">
        <v>641</v>
      </c>
      <c r="I244" s="8" t="s">
        <v>641</v>
      </c>
      <c r="J244" s="8">
        <v>36</v>
      </c>
      <c r="K244" s="9">
        <v>420</v>
      </c>
      <c r="L244" s="9">
        <v>15120</v>
      </c>
      <c r="M244" s="8" t="s">
        <v>75</v>
      </c>
      <c r="N244" s="8">
        <v>0</v>
      </c>
      <c r="O244" s="8">
        <v>10</v>
      </c>
      <c r="P244" s="8">
        <v>12</v>
      </c>
      <c r="Q244" s="8" t="s">
        <v>123</v>
      </c>
      <c r="R244" s="8" t="s">
        <v>77</v>
      </c>
      <c r="S244" s="8" t="s">
        <v>78</v>
      </c>
    </row>
    <row r="245" spans="1:19" x14ac:dyDescent="0.2">
      <c r="A245" s="10" t="s">
        <v>642</v>
      </c>
      <c r="B245" s="10">
        <v>20</v>
      </c>
      <c r="C245" s="10" t="s">
        <v>286</v>
      </c>
      <c r="D245" s="10">
        <v>6</v>
      </c>
      <c r="E245" s="10" t="s">
        <v>24</v>
      </c>
      <c r="F245" s="10" t="s">
        <v>26</v>
      </c>
      <c r="G245" s="10" t="s">
        <v>236</v>
      </c>
      <c r="H245" s="10" t="s">
        <v>643</v>
      </c>
      <c r="I245" s="10" t="s">
        <v>643</v>
      </c>
      <c r="J245" s="10">
        <v>13</v>
      </c>
      <c r="K245" s="11">
        <v>180</v>
      </c>
      <c r="L245" s="11">
        <v>2340</v>
      </c>
      <c r="M245" s="10" t="s">
        <v>75</v>
      </c>
      <c r="N245" s="10">
        <v>0</v>
      </c>
      <c r="O245" s="10">
        <v>15</v>
      </c>
      <c r="P245" s="10">
        <v>1</v>
      </c>
      <c r="Q245" s="10" t="s">
        <v>101</v>
      </c>
      <c r="R245" s="10" t="s">
        <v>91</v>
      </c>
      <c r="S245" s="10" t="s">
        <v>85</v>
      </c>
    </row>
    <row r="246" spans="1:19" x14ac:dyDescent="0.2">
      <c r="A246" s="8" t="s">
        <v>644</v>
      </c>
      <c r="B246" s="8">
        <v>13</v>
      </c>
      <c r="C246" s="8" t="s">
        <v>141</v>
      </c>
      <c r="D246" s="8">
        <v>4</v>
      </c>
      <c r="E246" s="8" t="s">
        <v>18</v>
      </c>
      <c r="F246" s="8" t="s">
        <v>20</v>
      </c>
      <c r="G246" s="8" t="s">
        <v>166</v>
      </c>
      <c r="H246" s="8" t="s">
        <v>280</v>
      </c>
      <c r="I246" s="8" t="s">
        <v>280</v>
      </c>
      <c r="J246" s="8">
        <v>27</v>
      </c>
      <c r="K246" s="9">
        <v>65</v>
      </c>
      <c r="L246" s="9">
        <v>1755</v>
      </c>
      <c r="M246" s="8" t="s">
        <v>75</v>
      </c>
      <c r="N246" s="8">
        <v>0</v>
      </c>
      <c r="O246" s="8">
        <v>3</v>
      </c>
      <c r="P246" s="8">
        <v>2</v>
      </c>
      <c r="Q246" s="8" t="s">
        <v>90</v>
      </c>
      <c r="R246" s="8" t="s">
        <v>91</v>
      </c>
      <c r="S246" s="8" t="s">
        <v>85</v>
      </c>
    </row>
    <row r="247" spans="1:19" x14ac:dyDescent="0.2">
      <c r="A247" s="10" t="s">
        <v>645</v>
      </c>
      <c r="B247" s="10">
        <v>17</v>
      </c>
      <c r="C247" s="10" t="s">
        <v>120</v>
      </c>
      <c r="D247" s="10">
        <v>6</v>
      </c>
      <c r="E247" s="10" t="s">
        <v>24</v>
      </c>
      <c r="F247" s="10" t="s">
        <v>26</v>
      </c>
      <c r="G247" s="10" t="s">
        <v>419</v>
      </c>
      <c r="H247" s="10" t="s">
        <v>528</v>
      </c>
      <c r="I247" s="10" t="s">
        <v>528</v>
      </c>
      <c r="J247" s="10">
        <v>16</v>
      </c>
      <c r="K247" s="11">
        <v>1200</v>
      </c>
      <c r="L247" s="11">
        <v>19200</v>
      </c>
      <c r="M247" s="10" t="s">
        <v>75</v>
      </c>
      <c r="N247" s="10">
        <v>0</v>
      </c>
      <c r="O247" s="10">
        <v>15</v>
      </c>
      <c r="P247" s="10">
        <v>9</v>
      </c>
      <c r="Q247" s="10" t="s">
        <v>221</v>
      </c>
      <c r="R247" s="10" t="s">
        <v>139</v>
      </c>
      <c r="S247" s="10" t="s">
        <v>78</v>
      </c>
    </row>
    <row r="248" spans="1:19" x14ac:dyDescent="0.2">
      <c r="A248" s="8" t="s">
        <v>646</v>
      </c>
      <c r="B248" s="8">
        <v>3</v>
      </c>
      <c r="C248" s="8" t="s">
        <v>254</v>
      </c>
      <c r="D248" s="8">
        <v>1</v>
      </c>
      <c r="E248" s="8" t="s">
        <v>8</v>
      </c>
      <c r="F248" s="8" t="s">
        <v>10</v>
      </c>
      <c r="G248" s="8" t="s">
        <v>610</v>
      </c>
      <c r="H248" s="8" t="s">
        <v>190</v>
      </c>
      <c r="I248" s="8" t="s">
        <v>190</v>
      </c>
      <c r="J248" s="8">
        <v>46</v>
      </c>
      <c r="K248" s="9">
        <v>150</v>
      </c>
      <c r="L248" s="9">
        <v>6900</v>
      </c>
      <c r="M248" s="8" t="s">
        <v>75</v>
      </c>
      <c r="N248" s="8">
        <v>0</v>
      </c>
      <c r="O248" s="8">
        <v>7</v>
      </c>
      <c r="P248" s="8">
        <v>12</v>
      </c>
      <c r="Q248" s="8" t="s">
        <v>123</v>
      </c>
      <c r="R248" s="8" t="s">
        <v>77</v>
      </c>
      <c r="S248" s="8" t="s">
        <v>78</v>
      </c>
    </row>
    <row r="249" spans="1:19" x14ac:dyDescent="0.2">
      <c r="A249" s="10" t="s">
        <v>647</v>
      </c>
      <c r="B249" s="10">
        <v>30</v>
      </c>
      <c r="C249" s="10" t="s">
        <v>235</v>
      </c>
      <c r="D249" s="10">
        <v>3</v>
      </c>
      <c r="E249" s="10" t="s">
        <v>16</v>
      </c>
      <c r="F249" s="10" t="s">
        <v>14</v>
      </c>
      <c r="G249" s="10" t="s">
        <v>580</v>
      </c>
      <c r="H249" s="10" t="s">
        <v>569</v>
      </c>
      <c r="I249" s="10" t="s">
        <v>569</v>
      </c>
      <c r="J249" s="10">
        <v>2</v>
      </c>
      <c r="K249" s="11">
        <v>18</v>
      </c>
      <c r="L249" s="11">
        <v>36</v>
      </c>
      <c r="M249" s="10" t="s">
        <v>75</v>
      </c>
      <c r="N249" s="10">
        <v>0</v>
      </c>
      <c r="O249" s="10">
        <v>5</v>
      </c>
      <c r="P249" s="10">
        <v>9</v>
      </c>
      <c r="Q249" s="10" t="s">
        <v>221</v>
      </c>
      <c r="R249" s="10" t="s">
        <v>139</v>
      </c>
      <c r="S249" s="10" t="s">
        <v>78</v>
      </c>
    </row>
    <row r="250" spans="1:19" x14ac:dyDescent="0.2">
      <c r="A250" s="8" t="s">
        <v>648</v>
      </c>
      <c r="B250" s="8">
        <v>22</v>
      </c>
      <c r="C250" s="8" t="s">
        <v>216</v>
      </c>
      <c r="D250" s="8">
        <v>11</v>
      </c>
      <c r="E250" s="8" t="s">
        <v>39</v>
      </c>
      <c r="F250" s="8" t="s">
        <v>41</v>
      </c>
      <c r="G250" s="8" t="s">
        <v>351</v>
      </c>
      <c r="H250" s="8" t="s">
        <v>471</v>
      </c>
      <c r="I250" s="8" t="s">
        <v>471</v>
      </c>
      <c r="J250" s="8">
        <v>26</v>
      </c>
      <c r="K250" s="9">
        <v>350</v>
      </c>
      <c r="L250" s="9">
        <v>9100</v>
      </c>
      <c r="M250" s="8" t="s">
        <v>75</v>
      </c>
      <c r="N250" s="8">
        <v>0</v>
      </c>
      <c r="O250" s="8">
        <v>12</v>
      </c>
      <c r="P250" s="8">
        <v>2</v>
      </c>
      <c r="Q250" s="8" t="s">
        <v>90</v>
      </c>
      <c r="R250" s="8" t="s">
        <v>91</v>
      </c>
      <c r="S250" s="8" t="s">
        <v>85</v>
      </c>
    </row>
    <row r="251" spans="1:19" x14ac:dyDescent="0.2">
      <c r="A251" s="10" t="s">
        <v>649</v>
      </c>
      <c r="B251" s="10">
        <v>26</v>
      </c>
      <c r="C251" s="10" t="s">
        <v>282</v>
      </c>
      <c r="D251" s="10">
        <v>8</v>
      </c>
      <c r="E251" s="10" t="s">
        <v>31</v>
      </c>
      <c r="F251" s="10" t="s">
        <v>33</v>
      </c>
      <c r="G251" s="10" t="s">
        <v>178</v>
      </c>
      <c r="H251" s="10" t="s">
        <v>181</v>
      </c>
      <c r="I251" s="10" t="s">
        <v>181</v>
      </c>
      <c r="J251" s="10">
        <v>43</v>
      </c>
      <c r="K251" s="11">
        <v>85</v>
      </c>
      <c r="L251" s="11">
        <v>3655</v>
      </c>
      <c r="M251" s="10" t="s">
        <v>75</v>
      </c>
      <c r="N251" s="10">
        <v>0</v>
      </c>
      <c r="O251" s="10">
        <v>7</v>
      </c>
      <c r="P251" s="10">
        <v>12</v>
      </c>
      <c r="Q251" s="10" t="s">
        <v>123</v>
      </c>
      <c r="R251" s="10" t="s">
        <v>77</v>
      </c>
      <c r="S251" s="10" t="s">
        <v>78</v>
      </c>
    </row>
    <row r="252" spans="1:19" x14ac:dyDescent="0.2">
      <c r="A252" s="8" t="s">
        <v>650</v>
      </c>
      <c r="B252" s="8">
        <v>3</v>
      </c>
      <c r="C252" s="8" t="s">
        <v>254</v>
      </c>
      <c r="D252" s="8">
        <v>1</v>
      </c>
      <c r="E252" s="8" t="s">
        <v>8</v>
      </c>
      <c r="F252" s="8" t="s">
        <v>10</v>
      </c>
      <c r="G252" s="8" t="s">
        <v>563</v>
      </c>
      <c r="H252" s="8" t="s">
        <v>612</v>
      </c>
      <c r="I252" s="8" t="s">
        <v>612</v>
      </c>
      <c r="J252" s="8">
        <v>36</v>
      </c>
      <c r="K252" s="9">
        <v>150</v>
      </c>
      <c r="L252" s="9">
        <v>5400</v>
      </c>
      <c r="M252" s="8" t="s">
        <v>75</v>
      </c>
      <c r="N252" s="8">
        <v>0</v>
      </c>
      <c r="O252" s="8">
        <v>7</v>
      </c>
      <c r="P252" s="8">
        <v>10</v>
      </c>
      <c r="Q252" s="8" t="s">
        <v>161</v>
      </c>
      <c r="R252" s="8" t="s">
        <v>77</v>
      </c>
      <c r="S252" s="8" t="s">
        <v>78</v>
      </c>
    </row>
    <row r="253" spans="1:19" x14ac:dyDescent="0.2">
      <c r="A253" s="10" t="s">
        <v>651</v>
      </c>
      <c r="B253" s="10">
        <v>22</v>
      </c>
      <c r="C253" s="10" t="s">
        <v>216</v>
      </c>
      <c r="D253" s="10">
        <v>11</v>
      </c>
      <c r="E253" s="10" t="s">
        <v>39</v>
      </c>
      <c r="F253" s="10" t="s">
        <v>41</v>
      </c>
      <c r="G253" s="10" t="s">
        <v>266</v>
      </c>
      <c r="H253" s="10" t="s">
        <v>309</v>
      </c>
      <c r="I253" s="10" t="s">
        <v>309</v>
      </c>
      <c r="J253" s="10">
        <v>48</v>
      </c>
      <c r="K253" s="11">
        <v>350</v>
      </c>
      <c r="L253" s="11">
        <v>16800</v>
      </c>
      <c r="M253" s="10" t="s">
        <v>75</v>
      </c>
      <c r="N253" s="10">
        <v>0</v>
      </c>
      <c r="O253" s="10">
        <v>12</v>
      </c>
      <c r="P253" s="10">
        <v>9</v>
      </c>
      <c r="Q253" s="10" t="s">
        <v>221</v>
      </c>
      <c r="R253" s="10" t="s">
        <v>139</v>
      </c>
      <c r="S253" s="10" t="s">
        <v>78</v>
      </c>
    </row>
    <row r="254" spans="1:19" x14ac:dyDescent="0.2">
      <c r="A254" s="8" t="s">
        <v>652</v>
      </c>
      <c r="B254" s="8">
        <v>30</v>
      </c>
      <c r="C254" s="8" t="s">
        <v>235</v>
      </c>
      <c r="D254" s="8">
        <v>3</v>
      </c>
      <c r="E254" s="8" t="s">
        <v>16</v>
      </c>
      <c r="F254" s="8" t="s">
        <v>14</v>
      </c>
      <c r="G254" s="8" t="s">
        <v>343</v>
      </c>
      <c r="H254" s="8" t="s">
        <v>297</v>
      </c>
      <c r="I254" s="8" t="s">
        <v>297</v>
      </c>
      <c r="J254" s="8">
        <v>45</v>
      </c>
      <c r="K254" s="9">
        <v>18</v>
      </c>
      <c r="L254" s="9">
        <v>810</v>
      </c>
      <c r="M254" s="8" t="s">
        <v>75</v>
      </c>
      <c r="N254" s="8">
        <v>0</v>
      </c>
      <c r="O254" s="8">
        <v>5</v>
      </c>
      <c r="P254" s="8">
        <v>10</v>
      </c>
      <c r="Q254" s="8" t="s">
        <v>161</v>
      </c>
      <c r="R254" s="8" t="s">
        <v>77</v>
      </c>
      <c r="S254" s="8" t="s">
        <v>78</v>
      </c>
    </row>
    <row r="255" spans="1:19" x14ac:dyDescent="0.2">
      <c r="A255" s="10" t="s">
        <v>653</v>
      </c>
      <c r="B255" s="10">
        <v>13</v>
      </c>
      <c r="C255" s="10" t="s">
        <v>141</v>
      </c>
      <c r="D255" s="10">
        <v>4</v>
      </c>
      <c r="E255" s="10" t="s">
        <v>18</v>
      </c>
      <c r="F255" s="10" t="s">
        <v>20</v>
      </c>
      <c r="G255" s="10" t="s">
        <v>247</v>
      </c>
      <c r="H255" s="10" t="s">
        <v>145</v>
      </c>
      <c r="I255" s="10" t="s">
        <v>145</v>
      </c>
      <c r="J255" s="10">
        <v>17</v>
      </c>
      <c r="K255" s="11">
        <v>65</v>
      </c>
      <c r="L255" s="11">
        <v>1105</v>
      </c>
      <c r="M255" s="10" t="s">
        <v>75</v>
      </c>
      <c r="N255" s="10">
        <v>0</v>
      </c>
      <c r="O255" s="10">
        <v>3</v>
      </c>
      <c r="P255" s="10">
        <v>8</v>
      </c>
      <c r="Q255" s="10" t="s">
        <v>147</v>
      </c>
      <c r="R255" s="10" t="s">
        <v>139</v>
      </c>
      <c r="S255" s="10" t="s">
        <v>78</v>
      </c>
    </row>
    <row r="256" spans="1:19" x14ac:dyDescent="0.2">
      <c r="A256" s="8" t="s">
        <v>654</v>
      </c>
      <c r="B256" s="8">
        <v>6</v>
      </c>
      <c r="C256" s="8" t="s">
        <v>153</v>
      </c>
      <c r="D256" s="8">
        <v>2</v>
      </c>
      <c r="E256" s="8" t="s">
        <v>12</v>
      </c>
      <c r="F256" s="8" t="s">
        <v>14</v>
      </c>
      <c r="G256" s="8" t="s">
        <v>655</v>
      </c>
      <c r="H256" s="8" t="s">
        <v>656</v>
      </c>
      <c r="I256" s="8" t="s">
        <v>81</v>
      </c>
      <c r="J256" s="8">
        <v>21</v>
      </c>
      <c r="K256" s="9">
        <v>25</v>
      </c>
      <c r="L256" s="9">
        <v>525</v>
      </c>
      <c r="M256" s="8" t="s">
        <v>75</v>
      </c>
      <c r="N256" s="8">
        <v>2</v>
      </c>
      <c r="O256" s="8">
        <v>7</v>
      </c>
      <c r="P256" s="8">
        <v>4</v>
      </c>
      <c r="Q256" s="8" t="s">
        <v>115</v>
      </c>
      <c r="R256" s="8" t="s">
        <v>84</v>
      </c>
      <c r="S256" s="8" t="s">
        <v>85</v>
      </c>
    </row>
    <row r="257" spans="1:19" x14ac:dyDescent="0.2">
      <c r="A257" s="10" t="s">
        <v>657</v>
      </c>
      <c r="B257" s="10">
        <v>1</v>
      </c>
      <c r="C257" s="10" t="s">
        <v>80</v>
      </c>
      <c r="D257" s="10">
        <v>1</v>
      </c>
      <c r="E257" s="10" t="s">
        <v>8</v>
      </c>
      <c r="F257" s="10" t="s">
        <v>10</v>
      </c>
      <c r="G257" s="10" t="s">
        <v>525</v>
      </c>
      <c r="H257" s="10" t="s">
        <v>411</v>
      </c>
      <c r="I257" s="10" t="s">
        <v>411</v>
      </c>
      <c r="J257" s="10">
        <v>49</v>
      </c>
      <c r="K257" s="11">
        <v>3500</v>
      </c>
      <c r="L257" s="11">
        <v>171500</v>
      </c>
      <c r="M257" s="10" t="s">
        <v>75</v>
      </c>
      <c r="N257" s="10">
        <v>0</v>
      </c>
      <c r="O257" s="10">
        <v>7</v>
      </c>
      <c r="P257" s="10">
        <v>3</v>
      </c>
      <c r="Q257" s="10" t="s">
        <v>128</v>
      </c>
      <c r="R257" s="10" t="s">
        <v>91</v>
      </c>
      <c r="S257" s="10" t="s">
        <v>85</v>
      </c>
    </row>
    <row r="258" spans="1:19" x14ac:dyDescent="0.2">
      <c r="A258" s="8" t="s">
        <v>658</v>
      </c>
      <c r="B258" s="8">
        <v>27</v>
      </c>
      <c r="C258" s="8" t="s">
        <v>97</v>
      </c>
      <c r="D258" s="8">
        <v>8</v>
      </c>
      <c r="E258" s="8" t="s">
        <v>31</v>
      </c>
      <c r="F258" s="8" t="s">
        <v>33</v>
      </c>
      <c r="G258" s="8" t="s">
        <v>610</v>
      </c>
      <c r="H258" s="8" t="s">
        <v>190</v>
      </c>
      <c r="I258" s="8" t="s">
        <v>417</v>
      </c>
      <c r="J258" s="8">
        <v>48</v>
      </c>
      <c r="K258" s="9">
        <v>40</v>
      </c>
      <c r="L258" s="9">
        <v>1920</v>
      </c>
      <c r="M258" s="8" t="s">
        <v>75</v>
      </c>
      <c r="N258" s="8">
        <v>2</v>
      </c>
      <c r="O258" s="8">
        <v>9</v>
      </c>
      <c r="P258" s="8">
        <v>12</v>
      </c>
      <c r="Q258" s="8" t="s">
        <v>123</v>
      </c>
      <c r="R258" s="8" t="s">
        <v>77</v>
      </c>
      <c r="S258" s="8" t="s">
        <v>78</v>
      </c>
    </row>
    <row r="259" spans="1:19" x14ac:dyDescent="0.2">
      <c r="A259" s="10" t="s">
        <v>659</v>
      </c>
      <c r="B259" s="10">
        <v>21</v>
      </c>
      <c r="C259" s="10" t="s">
        <v>108</v>
      </c>
      <c r="D259" s="10">
        <v>11</v>
      </c>
      <c r="E259" s="10" t="s">
        <v>39</v>
      </c>
      <c r="F259" s="10" t="s">
        <v>41</v>
      </c>
      <c r="G259" s="10" t="s">
        <v>248</v>
      </c>
      <c r="H259" s="10" t="s">
        <v>260</v>
      </c>
      <c r="I259" s="10" t="s">
        <v>260</v>
      </c>
      <c r="J259" s="10">
        <v>38</v>
      </c>
      <c r="K259" s="11">
        <v>2800</v>
      </c>
      <c r="L259" s="11">
        <v>106400</v>
      </c>
      <c r="M259" s="10" t="s">
        <v>75</v>
      </c>
      <c r="N259" s="10">
        <v>0</v>
      </c>
      <c r="O259" s="10">
        <v>12</v>
      </c>
      <c r="P259" s="10">
        <v>9</v>
      </c>
      <c r="Q259" s="10" t="s">
        <v>221</v>
      </c>
      <c r="R259" s="10" t="s">
        <v>139</v>
      </c>
      <c r="S259" s="10" t="s">
        <v>78</v>
      </c>
    </row>
    <row r="260" spans="1:19" x14ac:dyDescent="0.2">
      <c r="A260" s="8" t="s">
        <v>660</v>
      </c>
      <c r="B260" s="8">
        <v>3</v>
      </c>
      <c r="C260" s="8" t="s">
        <v>254</v>
      </c>
      <c r="D260" s="8">
        <v>1</v>
      </c>
      <c r="E260" s="8" t="s">
        <v>8</v>
      </c>
      <c r="F260" s="8" t="s">
        <v>10</v>
      </c>
      <c r="G260" s="8" t="s">
        <v>661</v>
      </c>
      <c r="H260" s="8" t="s">
        <v>220</v>
      </c>
      <c r="I260" s="8" t="s">
        <v>220</v>
      </c>
      <c r="J260" s="8">
        <v>7</v>
      </c>
      <c r="K260" s="9">
        <v>150</v>
      </c>
      <c r="L260" s="9">
        <v>1050</v>
      </c>
      <c r="M260" s="8" t="s">
        <v>75</v>
      </c>
      <c r="N260" s="8">
        <v>0</v>
      </c>
      <c r="O260" s="8">
        <v>7</v>
      </c>
      <c r="P260" s="8">
        <v>9</v>
      </c>
      <c r="Q260" s="8" t="s">
        <v>221</v>
      </c>
      <c r="R260" s="8" t="s">
        <v>139</v>
      </c>
      <c r="S260" s="8" t="s">
        <v>78</v>
      </c>
    </row>
    <row r="261" spans="1:19" x14ac:dyDescent="0.2">
      <c r="A261" s="10" t="s">
        <v>662</v>
      </c>
      <c r="B261" s="10">
        <v>5</v>
      </c>
      <c r="C261" s="10" t="s">
        <v>87</v>
      </c>
      <c r="D261" s="10">
        <v>5</v>
      </c>
      <c r="E261" s="10" t="s">
        <v>22</v>
      </c>
      <c r="F261" s="10" t="s">
        <v>10</v>
      </c>
      <c r="G261" s="10" t="s">
        <v>359</v>
      </c>
      <c r="H261" s="10" t="s">
        <v>356</v>
      </c>
      <c r="I261" s="10" t="s">
        <v>356</v>
      </c>
      <c r="J261" s="10">
        <v>24</v>
      </c>
      <c r="K261" s="11">
        <v>250</v>
      </c>
      <c r="L261" s="11">
        <v>6000</v>
      </c>
      <c r="M261" s="10" t="s">
        <v>75</v>
      </c>
      <c r="N261" s="10">
        <v>0</v>
      </c>
      <c r="O261" s="10">
        <v>10</v>
      </c>
      <c r="P261" s="10">
        <v>4</v>
      </c>
      <c r="Q261" s="10" t="s">
        <v>115</v>
      </c>
      <c r="R261" s="10" t="s">
        <v>84</v>
      </c>
      <c r="S261" s="10" t="s">
        <v>85</v>
      </c>
    </row>
    <row r="262" spans="1:19" x14ac:dyDescent="0.2">
      <c r="A262" s="8" t="s">
        <v>663</v>
      </c>
      <c r="B262" s="8">
        <v>8</v>
      </c>
      <c r="C262" s="8" t="s">
        <v>369</v>
      </c>
      <c r="D262" s="8">
        <v>2</v>
      </c>
      <c r="E262" s="8" t="s">
        <v>12</v>
      </c>
      <c r="F262" s="8" t="s">
        <v>14</v>
      </c>
      <c r="G262" s="8" t="s">
        <v>255</v>
      </c>
      <c r="H262" s="8" t="s">
        <v>664</v>
      </c>
      <c r="I262" s="8" t="s">
        <v>664</v>
      </c>
      <c r="J262" s="8">
        <v>46</v>
      </c>
      <c r="K262" s="9">
        <v>12</v>
      </c>
      <c r="L262" s="9">
        <v>552</v>
      </c>
      <c r="M262" s="8" t="s">
        <v>75</v>
      </c>
      <c r="N262" s="8">
        <v>0</v>
      </c>
      <c r="O262" s="8">
        <v>5</v>
      </c>
      <c r="P262" s="8">
        <v>4</v>
      </c>
      <c r="Q262" s="8" t="s">
        <v>115</v>
      </c>
      <c r="R262" s="8" t="s">
        <v>84</v>
      </c>
      <c r="S262" s="8" t="s">
        <v>85</v>
      </c>
    </row>
    <row r="263" spans="1:19" x14ac:dyDescent="0.2">
      <c r="A263" s="10" t="s">
        <v>665</v>
      </c>
      <c r="B263" s="10">
        <v>25</v>
      </c>
      <c r="C263" s="10" t="s">
        <v>295</v>
      </c>
      <c r="D263" s="10">
        <v>10</v>
      </c>
      <c r="E263" s="10" t="s">
        <v>37</v>
      </c>
      <c r="F263" s="10" t="s">
        <v>10</v>
      </c>
      <c r="G263" s="10" t="s">
        <v>666</v>
      </c>
      <c r="H263" s="10" t="s">
        <v>309</v>
      </c>
      <c r="I263" s="10" t="s">
        <v>366</v>
      </c>
      <c r="J263" s="10">
        <v>4</v>
      </c>
      <c r="K263" s="11">
        <v>420</v>
      </c>
      <c r="L263" s="11">
        <v>1680</v>
      </c>
      <c r="M263" s="10" t="s">
        <v>75</v>
      </c>
      <c r="N263" s="10">
        <v>1</v>
      </c>
      <c r="O263" s="10">
        <v>11</v>
      </c>
      <c r="P263" s="10">
        <v>9</v>
      </c>
      <c r="Q263" s="10" t="s">
        <v>221</v>
      </c>
      <c r="R263" s="10" t="s">
        <v>139</v>
      </c>
      <c r="S263" s="10" t="s">
        <v>78</v>
      </c>
    </row>
    <row r="264" spans="1:19" x14ac:dyDescent="0.2">
      <c r="A264" s="8" t="s">
        <v>667</v>
      </c>
      <c r="B264" s="8">
        <v>27</v>
      </c>
      <c r="C264" s="8" t="s">
        <v>97</v>
      </c>
      <c r="D264" s="8">
        <v>8</v>
      </c>
      <c r="E264" s="8" t="s">
        <v>31</v>
      </c>
      <c r="F264" s="8" t="s">
        <v>33</v>
      </c>
      <c r="G264" s="8" t="s">
        <v>309</v>
      </c>
      <c r="H264" s="8" t="s">
        <v>668</v>
      </c>
      <c r="I264" s="8" t="s">
        <v>668</v>
      </c>
      <c r="J264" s="8">
        <v>9</v>
      </c>
      <c r="K264" s="9">
        <v>40</v>
      </c>
      <c r="L264" s="9">
        <v>360</v>
      </c>
      <c r="M264" s="8" t="s">
        <v>75</v>
      </c>
      <c r="N264" s="8">
        <v>0</v>
      </c>
      <c r="O264" s="8">
        <v>7</v>
      </c>
      <c r="P264" s="8">
        <v>10</v>
      </c>
      <c r="Q264" s="8" t="s">
        <v>161</v>
      </c>
      <c r="R264" s="8" t="s">
        <v>77</v>
      </c>
      <c r="S264" s="8" t="s">
        <v>78</v>
      </c>
    </row>
    <row r="265" spans="1:19" x14ac:dyDescent="0.2">
      <c r="A265" s="10" t="s">
        <v>669</v>
      </c>
      <c r="B265" s="10">
        <v>19</v>
      </c>
      <c r="C265" s="10" t="s">
        <v>172</v>
      </c>
      <c r="D265" s="10">
        <v>6</v>
      </c>
      <c r="E265" s="10" t="s">
        <v>24</v>
      </c>
      <c r="F265" s="10" t="s">
        <v>26</v>
      </c>
      <c r="G265" s="10" t="s">
        <v>226</v>
      </c>
      <c r="H265" s="10" t="s">
        <v>439</v>
      </c>
      <c r="I265" s="10" t="s">
        <v>439</v>
      </c>
      <c r="J265" s="10">
        <v>32</v>
      </c>
      <c r="K265" s="11">
        <v>450</v>
      </c>
      <c r="L265" s="11">
        <v>14400</v>
      </c>
      <c r="M265" s="10" t="s">
        <v>75</v>
      </c>
      <c r="N265" s="10">
        <v>0</v>
      </c>
      <c r="O265" s="10">
        <v>15</v>
      </c>
      <c r="P265" s="10">
        <v>11</v>
      </c>
      <c r="Q265" s="10" t="s">
        <v>76</v>
      </c>
      <c r="R265" s="10" t="s">
        <v>77</v>
      </c>
      <c r="S265" s="10" t="s">
        <v>78</v>
      </c>
    </row>
    <row r="266" spans="1:19" x14ac:dyDescent="0.2">
      <c r="A266" s="8" t="s">
        <v>670</v>
      </c>
      <c r="B266" s="8">
        <v>3</v>
      </c>
      <c r="C266" s="8" t="s">
        <v>254</v>
      </c>
      <c r="D266" s="8">
        <v>1</v>
      </c>
      <c r="E266" s="8" t="s">
        <v>8</v>
      </c>
      <c r="F266" s="8" t="s">
        <v>10</v>
      </c>
      <c r="G266" s="8" t="s">
        <v>88</v>
      </c>
      <c r="H266" s="8" t="s">
        <v>471</v>
      </c>
      <c r="I266" s="8" t="s">
        <v>471</v>
      </c>
      <c r="J266" s="8">
        <v>37</v>
      </c>
      <c r="K266" s="9">
        <v>150</v>
      </c>
      <c r="L266" s="9">
        <v>5550</v>
      </c>
      <c r="M266" s="8" t="s">
        <v>75</v>
      </c>
      <c r="N266" s="8">
        <v>0</v>
      </c>
      <c r="O266" s="8">
        <v>7</v>
      </c>
      <c r="P266" s="8">
        <v>2</v>
      </c>
      <c r="Q266" s="8" t="s">
        <v>90</v>
      </c>
      <c r="R266" s="8" t="s">
        <v>91</v>
      </c>
      <c r="S266" s="8" t="s">
        <v>85</v>
      </c>
    </row>
    <row r="267" spans="1:19" x14ac:dyDescent="0.2">
      <c r="A267" s="10" t="s">
        <v>671</v>
      </c>
      <c r="B267" s="10">
        <v>21</v>
      </c>
      <c r="C267" s="10" t="s">
        <v>108</v>
      </c>
      <c r="D267" s="10">
        <v>11</v>
      </c>
      <c r="E267" s="10" t="s">
        <v>39</v>
      </c>
      <c r="F267" s="10" t="s">
        <v>41</v>
      </c>
      <c r="G267" s="10" t="s">
        <v>672</v>
      </c>
      <c r="H267" s="10" t="s">
        <v>673</v>
      </c>
      <c r="I267" s="10" t="s">
        <v>673</v>
      </c>
      <c r="J267" s="10">
        <v>29</v>
      </c>
      <c r="K267" s="11">
        <v>2800</v>
      </c>
      <c r="L267" s="11">
        <v>81200</v>
      </c>
      <c r="M267" s="10" t="s">
        <v>75</v>
      </c>
      <c r="N267" s="10">
        <v>0</v>
      </c>
      <c r="O267" s="10">
        <v>12</v>
      </c>
      <c r="P267" s="10">
        <v>5</v>
      </c>
      <c r="Q267" s="10" t="s">
        <v>83</v>
      </c>
      <c r="R267" s="10" t="s">
        <v>84</v>
      </c>
      <c r="S267" s="10" t="s">
        <v>85</v>
      </c>
    </row>
    <row r="268" spans="1:19" x14ac:dyDescent="0.2">
      <c r="A268" s="8" t="s">
        <v>674</v>
      </c>
      <c r="B268" s="8">
        <v>20</v>
      </c>
      <c r="C268" s="8" t="s">
        <v>286</v>
      </c>
      <c r="D268" s="8">
        <v>6</v>
      </c>
      <c r="E268" s="8" t="s">
        <v>24</v>
      </c>
      <c r="F268" s="8" t="s">
        <v>26</v>
      </c>
      <c r="G268" s="8" t="s">
        <v>509</v>
      </c>
      <c r="H268" s="8" t="s">
        <v>675</v>
      </c>
      <c r="I268" s="8" t="s">
        <v>676</v>
      </c>
      <c r="J268" s="8">
        <v>17</v>
      </c>
      <c r="K268" s="9">
        <v>180</v>
      </c>
      <c r="L268" s="9">
        <v>3060</v>
      </c>
      <c r="M268" s="8" t="s">
        <v>75</v>
      </c>
      <c r="N268" s="8">
        <v>1</v>
      </c>
      <c r="O268" s="8">
        <v>16</v>
      </c>
      <c r="P268" s="8">
        <v>6</v>
      </c>
      <c r="Q268" s="8" t="s">
        <v>134</v>
      </c>
      <c r="R268" s="8" t="s">
        <v>84</v>
      </c>
      <c r="S268" s="8" t="s">
        <v>85</v>
      </c>
    </row>
    <row r="269" spans="1:19" x14ac:dyDescent="0.2">
      <c r="A269" s="10" t="s">
        <v>677</v>
      </c>
      <c r="B269" s="10">
        <v>28</v>
      </c>
      <c r="C269" s="10" t="s">
        <v>71</v>
      </c>
      <c r="D269" s="10">
        <v>8</v>
      </c>
      <c r="E269" s="10" t="s">
        <v>31</v>
      </c>
      <c r="F269" s="10" t="s">
        <v>33</v>
      </c>
      <c r="G269" s="10" t="s">
        <v>208</v>
      </c>
      <c r="H269" s="10" t="s">
        <v>580</v>
      </c>
      <c r="I269" s="10" t="s">
        <v>454</v>
      </c>
      <c r="J269" s="10">
        <v>26</v>
      </c>
      <c r="K269" s="11">
        <v>120</v>
      </c>
      <c r="L269" s="11">
        <v>3120</v>
      </c>
      <c r="M269" s="10" t="s">
        <v>75</v>
      </c>
      <c r="N269" s="10">
        <v>1</v>
      </c>
      <c r="O269" s="10">
        <v>8</v>
      </c>
      <c r="P269" s="10">
        <v>9</v>
      </c>
      <c r="Q269" s="10" t="s">
        <v>221</v>
      </c>
      <c r="R269" s="10" t="s">
        <v>139</v>
      </c>
      <c r="S269" s="10" t="s">
        <v>78</v>
      </c>
    </row>
    <row r="270" spans="1:19" x14ac:dyDescent="0.2">
      <c r="A270" s="8" t="s">
        <v>678</v>
      </c>
      <c r="B270" s="8">
        <v>27</v>
      </c>
      <c r="C270" s="8" t="s">
        <v>97</v>
      </c>
      <c r="D270" s="8">
        <v>8</v>
      </c>
      <c r="E270" s="8" t="s">
        <v>31</v>
      </c>
      <c r="F270" s="8" t="s">
        <v>33</v>
      </c>
      <c r="G270" s="8" t="s">
        <v>580</v>
      </c>
      <c r="H270" s="8" t="s">
        <v>679</v>
      </c>
      <c r="I270" s="8" t="s">
        <v>304</v>
      </c>
      <c r="J270" s="8">
        <v>44</v>
      </c>
      <c r="K270" s="9">
        <v>40</v>
      </c>
      <c r="L270" s="9">
        <v>1760</v>
      </c>
      <c r="M270" s="8" t="s">
        <v>75</v>
      </c>
      <c r="N270" s="8">
        <v>6</v>
      </c>
      <c r="O270" s="8">
        <v>13</v>
      </c>
      <c r="P270" s="8">
        <v>9</v>
      </c>
      <c r="Q270" s="8" t="s">
        <v>221</v>
      </c>
      <c r="R270" s="8" t="s">
        <v>139</v>
      </c>
      <c r="S270" s="8" t="s">
        <v>78</v>
      </c>
    </row>
    <row r="271" spans="1:19" x14ac:dyDescent="0.2">
      <c r="A271" s="10" t="s">
        <v>680</v>
      </c>
      <c r="B271" s="10">
        <v>8</v>
      </c>
      <c r="C271" s="10" t="s">
        <v>369</v>
      </c>
      <c r="D271" s="10">
        <v>2</v>
      </c>
      <c r="E271" s="10" t="s">
        <v>12</v>
      </c>
      <c r="F271" s="10" t="s">
        <v>14</v>
      </c>
      <c r="G271" s="10" t="s">
        <v>681</v>
      </c>
      <c r="H271" s="10" t="s">
        <v>682</v>
      </c>
      <c r="I271" s="10" t="s">
        <v>319</v>
      </c>
      <c r="J271" s="10">
        <v>37</v>
      </c>
      <c r="K271" s="11">
        <v>12</v>
      </c>
      <c r="L271" s="11">
        <v>444</v>
      </c>
      <c r="M271" s="10" t="s">
        <v>75</v>
      </c>
      <c r="N271" s="10">
        <v>7</v>
      </c>
      <c r="O271" s="10">
        <v>12</v>
      </c>
      <c r="P271" s="10">
        <v>1</v>
      </c>
      <c r="Q271" s="10" t="s">
        <v>101</v>
      </c>
      <c r="R271" s="10" t="s">
        <v>91</v>
      </c>
      <c r="S271" s="10" t="s">
        <v>85</v>
      </c>
    </row>
    <row r="272" spans="1:19" x14ac:dyDescent="0.2">
      <c r="A272" s="8" t="s">
        <v>683</v>
      </c>
      <c r="B272" s="8">
        <v>1</v>
      </c>
      <c r="C272" s="8" t="s">
        <v>80</v>
      </c>
      <c r="D272" s="8">
        <v>1</v>
      </c>
      <c r="E272" s="8" t="s">
        <v>8</v>
      </c>
      <c r="F272" s="8" t="s">
        <v>10</v>
      </c>
      <c r="G272" s="8" t="s">
        <v>684</v>
      </c>
      <c r="H272" s="8" t="s">
        <v>535</v>
      </c>
      <c r="I272" s="8" t="s">
        <v>196</v>
      </c>
      <c r="J272" s="8">
        <v>8</v>
      </c>
      <c r="K272" s="9">
        <v>3500</v>
      </c>
      <c r="L272" s="9">
        <v>28000</v>
      </c>
      <c r="M272" s="8" t="s">
        <v>75</v>
      </c>
      <c r="N272" s="8">
        <v>2</v>
      </c>
      <c r="O272" s="8">
        <v>9</v>
      </c>
      <c r="P272" s="8">
        <v>6</v>
      </c>
      <c r="Q272" s="8" t="s">
        <v>134</v>
      </c>
      <c r="R272" s="8" t="s">
        <v>84</v>
      </c>
      <c r="S272" s="8" t="s">
        <v>85</v>
      </c>
    </row>
    <row r="273" spans="1:19" x14ac:dyDescent="0.2">
      <c r="A273" s="10" t="s">
        <v>685</v>
      </c>
      <c r="B273" s="10">
        <v>15</v>
      </c>
      <c r="C273" s="10" t="s">
        <v>176</v>
      </c>
      <c r="D273" s="10">
        <v>14</v>
      </c>
      <c r="E273" s="10" t="s">
        <v>49</v>
      </c>
      <c r="F273" s="10" t="s">
        <v>20</v>
      </c>
      <c r="G273" s="10" t="s">
        <v>496</v>
      </c>
      <c r="H273" s="10" t="s">
        <v>686</v>
      </c>
      <c r="I273" s="10" t="s">
        <v>518</v>
      </c>
      <c r="J273" s="10">
        <v>39</v>
      </c>
      <c r="K273" s="11">
        <v>15</v>
      </c>
      <c r="L273" s="11">
        <v>585</v>
      </c>
      <c r="M273" s="10" t="s">
        <v>75</v>
      </c>
      <c r="N273" s="10">
        <v>13</v>
      </c>
      <c r="O273" s="10">
        <v>16</v>
      </c>
      <c r="P273" s="10">
        <v>10</v>
      </c>
      <c r="Q273" s="10" t="s">
        <v>161</v>
      </c>
      <c r="R273" s="10" t="s">
        <v>77</v>
      </c>
      <c r="S273" s="10" t="s">
        <v>78</v>
      </c>
    </row>
    <row r="274" spans="1:19" x14ac:dyDescent="0.2">
      <c r="A274" s="8" t="s">
        <v>687</v>
      </c>
      <c r="B274" s="8">
        <v>29</v>
      </c>
      <c r="C274" s="8" t="s">
        <v>225</v>
      </c>
      <c r="D274" s="8">
        <v>3</v>
      </c>
      <c r="E274" s="8" t="s">
        <v>16</v>
      </c>
      <c r="F274" s="8" t="s">
        <v>14</v>
      </c>
      <c r="G274" s="8" t="s">
        <v>228</v>
      </c>
      <c r="H274" s="8" t="s">
        <v>229</v>
      </c>
      <c r="I274" s="8" t="s">
        <v>229</v>
      </c>
      <c r="J274" s="8">
        <v>15</v>
      </c>
      <c r="K274" s="9">
        <v>22</v>
      </c>
      <c r="L274" s="9">
        <v>330</v>
      </c>
      <c r="M274" s="8" t="s">
        <v>75</v>
      </c>
      <c r="N274" s="8">
        <v>0</v>
      </c>
      <c r="O274" s="8">
        <v>5</v>
      </c>
      <c r="P274" s="8">
        <v>11</v>
      </c>
      <c r="Q274" s="8" t="s">
        <v>76</v>
      </c>
      <c r="R274" s="8" t="s">
        <v>77</v>
      </c>
      <c r="S274" s="8" t="s">
        <v>78</v>
      </c>
    </row>
    <row r="275" spans="1:19" x14ac:dyDescent="0.2">
      <c r="A275" s="10" t="s">
        <v>688</v>
      </c>
      <c r="B275" s="10">
        <v>18</v>
      </c>
      <c r="C275" s="10" t="s">
        <v>103</v>
      </c>
      <c r="D275" s="10">
        <v>6</v>
      </c>
      <c r="E275" s="10" t="s">
        <v>24</v>
      </c>
      <c r="F275" s="10" t="s">
        <v>26</v>
      </c>
      <c r="G275" s="10" t="s">
        <v>625</v>
      </c>
      <c r="H275" s="10" t="s">
        <v>689</v>
      </c>
      <c r="I275" s="10" t="s">
        <v>689</v>
      </c>
      <c r="J275" s="10">
        <v>29</v>
      </c>
      <c r="K275" s="11">
        <v>900</v>
      </c>
      <c r="L275" s="11">
        <v>26100</v>
      </c>
      <c r="M275" s="10" t="s">
        <v>75</v>
      </c>
      <c r="N275" s="10">
        <v>0</v>
      </c>
      <c r="O275" s="10">
        <v>15</v>
      </c>
      <c r="P275" s="10">
        <v>9</v>
      </c>
      <c r="Q275" s="10" t="s">
        <v>221</v>
      </c>
      <c r="R275" s="10" t="s">
        <v>139</v>
      </c>
      <c r="S275" s="10" t="s">
        <v>78</v>
      </c>
    </row>
    <row r="276" spans="1:19" x14ac:dyDescent="0.2">
      <c r="A276" s="8" t="s">
        <v>690</v>
      </c>
      <c r="B276" s="8">
        <v>12</v>
      </c>
      <c r="C276" s="8" t="s">
        <v>279</v>
      </c>
      <c r="D276" s="8">
        <v>4</v>
      </c>
      <c r="E276" s="8" t="s">
        <v>18</v>
      </c>
      <c r="F276" s="8" t="s">
        <v>20</v>
      </c>
      <c r="G276" s="8" t="s">
        <v>691</v>
      </c>
      <c r="H276" s="8" t="s">
        <v>684</v>
      </c>
      <c r="I276" s="8" t="s">
        <v>684</v>
      </c>
      <c r="J276" s="8">
        <v>28</v>
      </c>
      <c r="K276" s="9">
        <v>22</v>
      </c>
      <c r="L276" s="9">
        <v>616</v>
      </c>
      <c r="M276" s="8" t="s">
        <v>75</v>
      </c>
      <c r="N276" s="8">
        <v>0</v>
      </c>
      <c r="O276" s="8">
        <v>3</v>
      </c>
      <c r="P276" s="8">
        <v>6</v>
      </c>
      <c r="Q276" s="8" t="s">
        <v>134</v>
      </c>
      <c r="R276" s="8" t="s">
        <v>84</v>
      </c>
      <c r="S276" s="8" t="s">
        <v>85</v>
      </c>
    </row>
    <row r="277" spans="1:19" x14ac:dyDescent="0.2">
      <c r="A277" s="10" t="s">
        <v>692</v>
      </c>
      <c r="B277" s="10">
        <v>29</v>
      </c>
      <c r="C277" s="10" t="s">
        <v>225</v>
      </c>
      <c r="D277" s="10">
        <v>3</v>
      </c>
      <c r="E277" s="10" t="s">
        <v>16</v>
      </c>
      <c r="F277" s="10" t="s">
        <v>14</v>
      </c>
      <c r="G277" s="10" t="s">
        <v>364</v>
      </c>
      <c r="H277" s="10" t="s">
        <v>195</v>
      </c>
      <c r="I277" s="10" t="s">
        <v>195</v>
      </c>
      <c r="J277" s="10">
        <v>4</v>
      </c>
      <c r="K277" s="11">
        <v>22</v>
      </c>
      <c r="L277" s="11">
        <v>88</v>
      </c>
      <c r="M277" s="10" t="s">
        <v>75</v>
      </c>
      <c r="N277" s="10">
        <v>0</v>
      </c>
      <c r="O277" s="10">
        <v>5</v>
      </c>
      <c r="P277" s="10">
        <v>6</v>
      </c>
      <c r="Q277" s="10" t="s">
        <v>134</v>
      </c>
      <c r="R277" s="10" t="s">
        <v>84</v>
      </c>
      <c r="S277" s="10" t="s">
        <v>85</v>
      </c>
    </row>
    <row r="278" spans="1:19" x14ac:dyDescent="0.2">
      <c r="A278" s="8" t="s">
        <v>693</v>
      </c>
      <c r="B278" s="8">
        <v>5</v>
      </c>
      <c r="C278" s="8" t="s">
        <v>87</v>
      </c>
      <c r="D278" s="8">
        <v>5</v>
      </c>
      <c r="E278" s="8" t="s">
        <v>22</v>
      </c>
      <c r="F278" s="8" t="s">
        <v>10</v>
      </c>
      <c r="G278" s="8" t="s">
        <v>632</v>
      </c>
      <c r="H278" s="8" t="s">
        <v>385</v>
      </c>
      <c r="I278" s="8" t="s">
        <v>385</v>
      </c>
      <c r="J278" s="8">
        <v>7</v>
      </c>
      <c r="K278" s="9">
        <v>250</v>
      </c>
      <c r="L278" s="9">
        <v>1750</v>
      </c>
      <c r="M278" s="8" t="s">
        <v>75</v>
      </c>
      <c r="N278" s="8">
        <v>0</v>
      </c>
      <c r="O278" s="8">
        <v>10</v>
      </c>
      <c r="P278" s="8">
        <v>11</v>
      </c>
      <c r="Q278" s="8" t="s">
        <v>76</v>
      </c>
      <c r="R278" s="8" t="s">
        <v>77</v>
      </c>
      <c r="S278" s="8" t="s">
        <v>78</v>
      </c>
    </row>
    <row r="279" spans="1:19" x14ac:dyDescent="0.2">
      <c r="A279" s="10" t="s">
        <v>694</v>
      </c>
      <c r="B279" s="10">
        <v>22</v>
      </c>
      <c r="C279" s="10" t="s">
        <v>216</v>
      </c>
      <c r="D279" s="10">
        <v>11</v>
      </c>
      <c r="E279" s="10" t="s">
        <v>39</v>
      </c>
      <c r="F279" s="10" t="s">
        <v>41</v>
      </c>
      <c r="G279" s="10" t="s">
        <v>695</v>
      </c>
      <c r="H279" s="10" t="s">
        <v>655</v>
      </c>
      <c r="I279" s="10" t="s">
        <v>655</v>
      </c>
      <c r="J279" s="10">
        <v>17</v>
      </c>
      <c r="K279" s="11">
        <v>350</v>
      </c>
      <c r="L279" s="11">
        <v>5950</v>
      </c>
      <c r="M279" s="10" t="s">
        <v>75</v>
      </c>
      <c r="N279" s="10">
        <v>0</v>
      </c>
      <c r="O279" s="10">
        <v>12</v>
      </c>
      <c r="P279" s="10">
        <v>4</v>
      </c>
      <c r="Q279" s="10" t="s">
        <v>115</v>
      </c>
      <c r="R279" s="10" t="s">
        <v>84</v>
      </c>
      <c r="S279" s="10" t="s">
        <v>85</v>
      </c>
    </row>
    <row r="280" spans="1:19" x14ac:dyDescent="0.2">
      <c r="A280" s="8" t="s">
        <v>696</v>
      </c>
      <c r="B280" s="8">
        <v>23</v>
      </c>
      <c r="C280" s="8" t="s">
        <v>168</v>
      </c>
      <c r="D280" s="8">
        <v>10</v>
      </c>
      <c r="E280" s="8" t="s">
        <v>37</v>
      </c>
      <c r="F280" s="8" t="s">
        <v>10</v>
      </c>
      <c r="G280" s="8" t="s">
        <v>163</v>
      </c>
      <c r="H280" s="8" t="s">
        <v>302</v>
      </c>
      <c r="I280" s="8" t="s">
        <v>189</v>
      </c>
      <c r="J280" s="8">
        <v>12</v>
      </c>
      <c r="K280" s="9">
        <v>25</v>
      </c>
      <c r="L280" s="9">
        <v>300</v>
      </c>
      <c r="M280" s="8" t="s">
        <v>75</v>
      </c>
      <c r="N280" s="8">
        <v>2</v>
      </c>
      <c r="O280" s="8">
        <v>12</v>
      </c>
      <c r="P280" s="8">
        <v>12</v>
      </c>
      <c r="Q280" s="8" t="s">
        <v>123</v>
      </c>
      <c r="R280" s="8" t="s">
        <v>77</v>
      </c>
      <c r="S280" s="8" t="s">
        <v>78</v>
      </c>
    </row>
    <row r="281" spans="1:19" x14ac:dyDescent="0.2">
      <c r="A281" s="10" t="s">
        <v>697</v>
      </c>
      <c r="B281" s="10">
        <v>23</v>
      </c>
      <c r="C281" s="10" t="s">
        <v>168</v>
      </c>
      <c r="D281" s="10">
        <v>10</v>
      </c>
      <c r="E281" s="10" t="s">
        <v>37</v>
      </c>
      <c r="F281" s="10" t="s">
        <v>10</v>
      </c>
      <c r="G281" s="10" t="s">
        <v>689</v>
      </c>
      <c r="H281" s="10" t="s">
        <v>212</v>
      </c>
      <c r="I281" s="10" t="s">
        <v>310</v>
      </c>
      <c r="J281" s="10">
        <v>27</v>
      </c>
      <c r="K281" s="11">
        <v>25</v>
      </c>
      <c r="L281" s="11">
        <v>675</v>
      </c>
      <c r="M281" s="10" t="s">
        <v>75</v>
      </c>
      <c r="N281" s="10">
        <v>1</v>
      </c>
      <c r="O281" s="10">
        <v>11</v>
      </c>
      <c r="P281" s="10">
        <v>10</v>
      </c>
      <c r="Q281" s="10" t="s">
        <v>161</v>
      </c>
      <c r="R281" s="10" t="s">
        <v>77</v>
      </c>
      <c r="S281" s="10" t="s">
        <v>78</v>
      </c>
    </row>
    <row r="282" spans="1:19" x14ac:dyDescent="0.2">
      <c r="A282" s="8" t="s">
        <v>698</v>
      </c>
      <c r="B282" s="8">
        <v>18</v>
      </c>
      <c r="C282" s="8" t="s">
        <v>103</v>
      </c>
      <c r="D282" s="8">
        <v>6</v>
      </c>
      <c r="E282" s="8" t="s">
        <v>24</v>
      </c>
      <c r="F282" s="8" t="s">
        <v>26</v>
      </c>
      <c r="G282" s="8" t="s">
        <v>699</v>
      </c>
      <c r="H282" s="8" t="s">
        <v>700</v>
      </c>
      <c r="I282" s="8" t="s">
        <v>700</v>
      </c>
      <c r="J282" s="8">
        <v>31</v>
      </c>
      <c r="K282" s="9">
        <v>900</v>
      </c>
      <c r="L282" s="9">
        <v>27900</v>
      </c>
      <c r="M282" s="8" t="s">
        <v>75</v>
      </c>
      <c r="N282" s="8">
        <v>0</v>
      </c>
      <c r="O282" s="8">
        <v>15</v>
      </c>
      <c r="P282" s="8">
        <v>8</v>
      </c>
      <c r="Q282" s="8" t="s">
        <v>147</v>
      </c>
      <c r="R282" s="8" t="s">
        <v>139</v>
      </c>
      <c r="S282" s="8" t="s">
        <v>78</v>
      </c>
    </row>
    <row r="283" spans="1:19" x14ac:dyDescent="0.2">
      <c r="A283" s="10" t="s">
        <v>701</v>
      </c>
      <c r="B283" s="10">
        <v>4</v>
      </c>
      <c r="C283" s="10" t="s">
        <v>93</v>
      </c>
      <c r="D283" s="10">
        <v>1</v>
      </c>
      <c r="E283" s="10" t="s">
        <v>8</v>
      </c>
      <c r="F283" s="10" t="s">
        <v>10</v>
      </c>
      <c r="G283" s="10" t="s">
        <v>463</v>
      </c>
      <c r="H283" s="10" t="s">
        <v>364</v>
      </c>
      <c r="I283" s="10" t="s">
        <v>602</v>
      </c>
      <c r="J283" s="10">
        <v>46</v>
      </c>
      <c r="K283" s="11">
        <v>80</v>
      </c>
      <c r="L283" s="11">
        <v>3680</v>
      </c>
      <c r="M283" s="10" t="s">
        <v>75</v>
      </c>
      <c r="N283" s="10">
        <v>3</v>
      </c>
      <c r="O283" s="10">
        <v>10</v>
      </c>
      <c r="P283" s="10">
        <v>5</v>
      </c>
      <c r="Q283" s="10" t="s">
        <v>83</v>
      </c>
      <c r="R283" s="10" t="s">
        <v>84</v>
      </c>
      <c r="S283" s="10" t="s">
        <v>85</v>
      </c>
    </row>
    <row r="284" spans="1:19" x14ac:dyDescent="0.2">
      <c r="A284" s="8" t="s">
        <v>702</v>
      </c>
      <c r="B284" s="8">
        <v>28</v>
      </c>
      <c r="C284" s="8" t="s">
        <v>71</v>
      </c>
      <c r="D284" s="8">
        <v>8</v>
      </c>
      <c r="E284" s="8" t="s">
        <v>31</v>
      </c>
      <c r="F284" s="8" t="s">
        <v>33</v>
      </c>
      <c r="G284" s="8" t="s">
        <v>703</v>
      </c>
      <c r="H284" s="8" t="s">
        <v>487</v>
      </c>
      <c r="I284" s="8" t="s">
        <v>487</v>
      </c>
      <c r="J284" s="8">
        <v>30</v>
      </c>
      <c r="K284" s="9">
        <v>120</v>
      </c>
      <c r="L284" s="9">
        <v>3600</v>
      </c>
      <c r="M284" s="8" t="s">
        <v>75</v>
      </c>
      <c r="N284" s="8">
        <v>0</v>
      </c>
      <c r="O284" s="8">
        <v>7</v>
      </c>
      <c r="P284" s="8">
        <v>5</v>
      </c>
      <c r="Q284" s="8" t="s">
        <v>83</v>
      </c>
      <c r="R284" s="8" t="s">
        <v>84</v>
      </c>
      <c r="S284" s="8" t="s">
        <v>85</v>
      </c>
    </row>
    <row r="285" spans="1:19" x14ac:dyDescent="0.2">
      <c r="A285" s="10" t="s">
        <v>704</v>
      </c>
      <c r="B285" s="10">
        <v>4</v>
      </c>
      <c r="C285" s="10" t="s">
        <v>93</v>
      </c>
      <c r="D285" s="10">
        <v>1</v>
      </c>
      <c r="E285" s="10" t="s">
        <v>8</v>
      </c>
      <c r="F285" s="10" t="s">
        <v>10</v>
      </c>
      <c r="G285" s="10" t="s">
        <v>318</v>
      </c>
      <c r="H285" s="10" t="s">
        <v>166</v>
      </c>
      <c r="I285" s="10" t="s">
        <v>166</v>
      </c>
      <c r="J285" s="10">
        <v>17</v>
      </c>
      <c r="K285" s="11">
        <v>80</v>
      </c>
      <c r="L285" s="11">
        <v>1360</v>
      </c>
      <c r="M285" s="10" t="s">
        <v>75</v>
      </c>
      <c r="N285" s="10">
        <v>0</v>
      </c>
      <c r="O285" s="10">
        <v>7</v>
      </c>
      <c r="P285" s="10">
        <v>2</v>
      </c>
      <c r="Q285" s="10" t="s">
        <v>90</v>
      </c>
      <c r="R285" s="10" t="s">
        <v>91</v>
      </c>
      <c r="S285" s="10" t="s">
        <v>85</v>
      </c>
    </row>
    <row r="286" spans="1:19" x14ac:dyDescent="0.2">
      <c r="A286" s="8" t="s">
        <v>705</v>
      </c>
      <c r="B286" s="8">
        <v>10</v>
      </c>
      <c r="C286" s="8" t="s">
        <v>275</v>
      </c>
      <c r="D286" s="8">
        <v>2</v>
      </c>
      <c r="E286" s="8" t="s">
        <v>12</v>
      </c>
      <c r="F286" s="8" t="s">
        <v>14</v>
      </c>
      <c r="G286" s="8" t="s">
        <v>258</v>
      </c>
      <c r="H286" s="8" t="s">
        <v>106</v>
      </c>
      <c r="I286" s="8" t="s">
        <v>106</v>
      </c>
      <c r="J286" s="8">
        <v>13</v>
      </c>
      <c r="K286" s="9">
        <v>45</v>
      </c>
      <c r="L286" s="9">
        <v>585</v>
      </c>
      <c r="M286" s="8" t="s">
        <v>75</v>
      </c>
      <c r="N286" s="8">
        <v>0</v>
      </c>
      <c r="O286" s="8">
        <v>5</v>
      </c>
      <c r="P286" s="8">
        <v>11</v>
      </c>
      <c r="Q286" s="8" t="s">
        <v>76</v>
      </c>
      <c r="R286" s="8" t="s">
        <v>77</v>
      </c>
      <c r="S286" s="8" t="s">
        <v>78</v>
      </c>
    </row>
    <row r="287" spans="1:19" x14ac:dyDescent="0.2">
      <c r="A287" s="10" t="s">
        <v>706</v>
      </c>
      <c r="B287" s="10">
        <v>13</v>
      </c>
      <c r="C287" s="10" t="s">
        <v>141</v>
      </c>
      <c r="D287" s="10">
        <v>4</v>
      </c>
      <c r="E287" s="10" t="s">
        <v>18</v>
      </c>
      <c r="F287" s="10" t="s">
        <v>20</v>
      </c>
      <c r="G287" s="10" t="s">
        <v>707</v>
      </c>
      <c r="H287" s="10" t="s">
        <v>331</v>
      </c>
      <c r="I287" s="10" t="s">
        <v>708</v>
      </c>
      <c r="J287" s="10">
        <v>42</v>
      </c>
      <c r="K287" s="11">
        <v>65</v>
      </c>
      <c r="L287" s="11">
        <v>2730</v>
      </c>
      <c r="M287" s="10" t="s">
        <v>75</v>
      </c>
      <c r="N287" s="10">
        <v>2</v>
      </c>
      <c r="O287" s="10">
        <v>5</v>
      </c>
      <c r="P287" s="10">
        <v>8</v>
      </c>
      <c r="Q287" s="10" t="s">
        <v>147</v>
      </c>
      <c r="R287" s="10" t="s">
        <v>139</v>
      </c>
      <c r="S287" s="10" t="s">
        <v>78</v>
      </c>
    </row>
    <row r="288" spans="1:19" x14ac:dyDescent="0.2">
      <c r="A288" s="8" t="s">
        <v>709</v>
      </c>
      <c r="B288" s="8">
        <v>9</v>
      </c>
      <c r="C288" s="8" t="s">
        <v>130</v>
      </c>
      <c r="D288" s="8">
        <v>2</v>
      </c>
      <c r="E288" s="8" t="s">
        <v>12</v>
      </c>
      <c r="F288" s="8" t="s">
        <v>14</v>
      </c>
      <c r="G288" s="8" t="s">
        <v>432</v>
      </c>
      <c r="H288" s="8" t="s">
        <v>554</v>
      </c>
      <c r="I288" s="8" t="s">
        <v>554</v>
      </c>
      <c r="J288" s="8">
        <v>10</v>
      </c>
      <c r="K288" s="9">
        <v>35</v>
      </c>
      <c r="L288" s="9">
        <v>350</v>
      </c>
      <c r="M288" s="8" t="s">
        <v>75</v>
      </c>
      <c r="N288" s="8">
        <v>0</v>
      </c>
      <c r="O288" s="8">
        <v>5</v>
      </c>
      <c r="P288" s="8">
        <v>3</v>
      </c>
      <c r="Q288" s="8" t="s">
        <v>128</v>
      </c>
      <c r="R288" s="8" t="s">
        <v>91</v>
      </c>
      <c r="S288" s="8" t="s">
        <v>85</v>
      </c>
    </row>
    <row r="289" spans="1:19" x14ac:dyDescent="0.2">
      <c r="A289" s="10" t="s">
        <v>710</v>
      </c>
      <c r="B289" s="10">
        <v>2</v>
      </c>
      <c r="C289" s="10" t="s">
        <v>456</v>
      </c>
      <c r="D289" s="10">
        <v>1</v>
      </c>
      <c r="E289" s="10" t="s">
        <v>8</v>
      </c>
      <c r="F289" s="10" t="s">
        <v>10</v>
      </c>
      <c r="G289" s="10" t="s">
        <v>318</v>
      </c>
      <c r="H289" s="10" t="s">
        <v>166</v>
      </c>
      <c r="I289" s="10" t="s">
        <v>151</v>
      </c>
      <c r="J289" s="10">
        <v>20</v>
      </c>
      <c r="K289" s="11">
        <v>1200</v>
      </c>
      <c r="L289" s="11">
        <v>24000</v>
      </c>
      <c r="M289" s="10" t="s">
        <v>75</v>
      </c>
      <c r="N289" s="10">
        <v>7</v>
      </c>
      <c r="O289" s="10">
        <v>14</v>
      </c>
      <c r="P289" s="10">
        <v>2</v>
      </c>
      <c r="Q289" s="10" t="s">
        <v>90</v>
      </c>
      <c r="R289" s="10" t="s">
        <v>91</v>
      </c>
      <c r="S289" s="10" t="s">
        <v>85</v>
      </c>
    </row>
    <row r="290" spans="1:19" x14ac:dyDescent="0.2">
      <c r="A290" s="8" t="s">
        <v>711</v>
      </c>
      <c r="B290" s="8">
        <v>29</v>
      </c>
      <c r="C290" s="8" t="s">
        <v>225</v>
      </c>
      <c r="D290" s="8">
        <v>3</v>
      </c>
      <c r="E290" s="8" t="s">
        <v>16</v>
      </c>
      <c r="F290" s="8" t="s">
        <v>14</v>
      </c>
      <c r="G290" s="8" t="s">
        <v>612</v>
      </c>
      <c r="H290" s="8" t="s">
        <v>712</v>
      </c>
      <c r="I290" s="8" t="s">
        <v>712</v>
      </c>
      <c r="J290" s="8">
        <v>37</v>
      </c>
      <c r="K290" s="9">
        <v>22</v>
      </c>
      <c r="L290" s="9">
        <v>814</v>
      </c>
      <c r="M290" s="8" t="s">
        <v>75</v>
      </c>
      <c r="N290" s="8">
        <v>0</v>
      </c>
      <c r="O290" s="8">
        <v>5</v>
      </c>
      <c r="P290" s="8">
        <v>10</v>
      </c>
      <c r="Q290" s="8" t="s">
        <v>161</v>
      </c>
      <c r="R290" s="8" t="s">
        <v>77</v>
      </c>
      <c r="S290" s="8" t="s">
        <v>78</v>
      </c>
    </row>
    <row r="291" spans="1:19" x14ac:dyDescent="0.2">
      <c r="A291" s="10" t="s">
        <v>713</v>
      </c>
      <c r="B291" s="10">
        <v>24</v>
      </c>
      <c r="C291" s="10" t="s">
        <v>149</v>
      </c>
      <c r="D291" s="10">
        <v>10</v>
      </c>
      <c r="E291" s="10" t="s">
        <v>37</v>
      </c>
      <c r="F291" s="10" t="s">
        <v>10</v>
      </c>
      <c r="G291" s="10" t="s">
        <v>361</v>
      </c>
      <c r="H291" s="10" t="s">
        <v>673</v>
      </c>
      <c r="I291" s="10" t="s">
        <v>673</v>
      </c>
      <c r="J291" s="10">
        <v>30</v>
      </c>
      <c r="K291" s="11">
        <v>380</v>
      </c>
      <c r="L291" s="11">
        <v>11400</v>
      </c>
      <c r="M291" s="10" t="s">
        <v>75</v>
      </c>
      <c r="N291" s="10">
        <v>0</v>
      </c>
      <c r="O291" s="10">
        <v>10</v>
      </c>
      <c r="P291" s="10">
        <v>5</v>
      </c>
      <c r="Q291" s="10" t="s">
        <v>83</v>
      </c>
      <c r="R291" s="10" t="s">
        <v>84</v>
      </c>
      <c r="S291" s="10" t="s">
        <v>85</v>
      </c>
    </row>
    <row r="292" spans="1:19" x14ac:dyDescent="0.2">
      <c r="A292" s="8" t="s">
        <v>714</v>
      </c>
      <c r="B292" s="8">
        <v>27</v>
      </c>
      <c r="C292" s="8" t="s">
        <v>97</v>
      </c>
      <c r="D292" s="8">
        <v>8</v>
      </c>
      <c r="E292" s="8" t="s">
        <v>31</v>
      </c>
      <c r="F292" s="8" t="s">
        <v>33</v>
      </c>
      <c r="G292" s="8" t="s">
        <v>288</v>
      </c>
      <c r="H292" s="8" t="s">
        <v>640</v>
      </c>
      <c r="I292" s="8" t="s">
        <v>640</v>
      </c>
      <c r="J292" s="8">
        <v>26</v>
      </c>
      <c r="K292" s="9">
        <v>40</v>
      </c>
      <c r="L292" s="9">
        <v>1040</v>
      </c>
      <c r="M292" s="8" t="s">
        <v>75</v>
      </c>
      <c r="N292" s="8">
        <v>0</v>
      </c>
      <c r="O292" s="8">
        <v>7</v>
      </c>
      <c r="P292" s="8">
        <v>12</v>
      </c>
      <c r="Q292" s="8" t="s">
        <v>123</v>
      </c>
      <c r="R292" s="8" t="s">
        <v>77</v>
      </c>
      <c r="S292" s="8" t="s">
        <v>78</v>
      </c>
    </row>
    <row r="293" spans="1:19" x14ac:dyDescent="0.2">
      <c r="A293" s="10" t="s">
        <v>715</v>
      </c>
      <c r="B293" s="10">
        <v>15</v>
      </c>
      <c r="C293" s="10" t="s">
        <v>176</v>
      </c>
      <c r="D293" s="10">
        <v>14</v>
      </c>
      <c r="E293" s="10" t="s">
        <v>49</v>
      </c>
      <c r="F293" s="10" t="s">
        <v>20</v>
      </c>
      <c r="G293" s="10" t="s">
        <v>608</v>
      </c>
      <c r="H293" s="10" t="s">
        <v>462</v>
      </c>
      <c r="I293" s="10" t="s">
        <v>716</v>
      </c>
      <c r="J293" s="10">
        <v>35</v>
      </c>
      <c r="K293" s="11">
        <v>15</v>
      </c>
      <c r="L293" s="11">
        <v>525</v>
      </c>
      <c r="M293" s="10" t="s">
        <v>75</v>
      </c>
      <c r="N293" s="10">
        <v>16</v>
      </c>
      <c r="O293" s="10">
        <v>19</v>
      </c>
      <c r="P293" s="10">
        <v>5</v>
      </c>
      <c r="Q293" s="10" t="s">
        <v>83</v>
      </c>
      <c r="R293" s="10" t="s">
        <v>84</v>
      </c>
      <c r="S293" s="10" t="s">
        <v>85</v>
      </c>
    </row>
    <row r="294" spans="1:19" x14ac:dyDescent="0.2">
      <c r="A294" s="8" t="s">
        <v>717</v>
      </c>
      <c r="B294" s="8">
        <v>12</v>
      </c>
      <c r="C294" s="8" t="s">
        <v>279</v>
      </c>
      <c r="D294" s="8">
        <v>4</v>
      </c>
      <c r="E294" s="8" t="s">
        <v>18</v>
      </c>
      <c r="F294" s="8" t="s">
        <v>20</v>
      </c>
      <c r="G294" s="8" t="s">
        <v>454</v>
      </c>
      <c r="H294" s="8" t="s">
        <v>718</v>
      </c>
      <c r="I294" s="8" t="s">
        <v>718</v>
      </c>
      <c r="J294" s="8">
        <v>39</v>
      </c>
      <c r="K294" s="9">
        <v>22</v>
      </c>
      <c r="L294" s="9">
        <v>858</v>
      </c>
      <c r="M294" s="8" t="s">
        <v>75</v>
      </c>
      <c r="N294" s="8">
        <v>0</v>
      </c>
      <c r="O294" s="8">
        <v>3</v>
      </c>
      <c r="P294" s="8">
        <v>9</v>
      </c>
      <c r="Q294" s="8" t="s">
        <v>221</v>
      </c>
      <c r="R294" s="8" t="s">
        <v>139</v>
      </c>
      <c r="S294" s="8" t="s">
        <v>78</v>
      </c>
    </row>
    <row r="295" spans="1:19" x14ac:dyDescent="0.2">
      <c r="A295" s="10" t="s">
        <v>719</v>
      </c>
      <c r="B295" s="10">
        <v>6</v>
      </c>
      <c r="C295" s="10" t="s">
        <v>153</v>
      </c>
      <c r="D295" s="10">
        <v>2</v>
      </c>
      <c r="E295" s="10" t="s">
        <v>12</v>
      </c>
      <c r="F295" s="10" t="s">
        <v>14</v>
      </c>
      <c r="G295" s="10" t="s">
        <v>643</v>
      </c>
      <c r="H295" s="10" t="s">
        <v>720</v>
      </c>
      <c r="I295" s="10" t="s">
        <v>720</v>
      </c>
      <c r="J295" s="10">
        <v>48</v>
      </c>
      <c r="K295" s="11">
        <v>25</v>
      </c>
      <c r="L295" s="11">
        <v>1200</v>
      </c>
      <c r="M295" s="10" t="s">
        <v>75</v>
      </c>
      <c r="N295" s="10">
        <v>0</v>
      </c>
      <c r="O295" s="10">
        <v>5</v>
      </c>
      <c r="P295" s="10">
        <v>1</v>
      </c>
      <c r="Q295" s="10" t="s">
        <v>101</v>
      </c>
      <c r="R295" s="10" t="s">
        <v>91</v>
      </c>
      <c r="S295" s="10" t="s">
        <v>85</v>
      </c>
    </row>
    <row r="296" spans="1:19" x14ac:dyDescent="0.2">
      <c r="A296" s="8" t="s">
        <v>721</v>
      </c>
      <c r="B296" s="8">
        <v>10</v>
      </c>
      <c r="C296" s="8" t="s">
        <v>275</v>
      </c>
      <c r="D296" s="8">
        <v>2</v>
      </c>
      <c r="E296" s="8" t="s">
        <v>12</v>
      </c>
      <c r="F296" s="8" t="s">
        <v>14</v>
      </c>
      <c r="G296" s="8" t="s">
        <v>269</v>
      </c>
      <c r="H296" s="8" t="s">
        <v>722</v>
      </c>
      <c r="I296" s="8" t="s">
        <v>722</v>
      </c>
      <c r="J296" s="8">
        <v>2</v>
      </c>
      <c r="K296" s="9">
        <v>45</v>
      </c>
      <c r="L296" s="9">
        <v>90</v>
      </c>
      <c r="M296" s="8" t="s">
        <v>75</v>
      </c>
      <c r="N296" s="8">
        <v>0</v>
      </c>
      <c r="O296" s="8">
        <v>5</v>
      </c>
      <c r="P296" s="8">
        <v>6</v>
      </c>
      <c r="Q296" s="8" t="s">
        <v>134</v>
      </c>
      <c r="R296" s="8" t="s">
        <v>84</v>
      </c>
      <c r="S296" s="8" t="s">
        <v>85</v>
      </c>
    </row>
    <row r="297" spans="1:19" x14ac:dyDescent="0.2">
      <c r="A297" s="10" t="s">
        <v>723</v>
      </c>
      <c r="B297" s="10">
        <v>15</v>
      </c>
      <c r="C297" s="10" t="s">
        <v>176</v>
      </c>
      <c r="D297" s="10">
        <v>14</v>
      </c>
      <c r="E297" s="10" t="s">
        <v>49</v>
      </c>
      <c r="F297" s="10" t="s">
        <v>20</v>
      </c>
      <c r="G297" s="10" t="s">
        <v>280</v>
      </c>
      <c r="H297" s="10" t="s">
        <v>724</v>
      </c>
      <c r="I297" s="10" t="s">
        <v>395</v>
      </c>
      <c r="J297" s="10">
        <v>44</v>
      </c>
      <c r="K297" s="11">
        <v>15</v>
      </c>
      <c r="L297" s="11">
        <v>660</v>
      </c>
      <c r="M297" s="10" t="s">
        <v>75</v>
      </c>
      <c r="N297" s="10">
        <v>7</v>
      </c>
      <c r="O297" s="10">
        <v>10</v>
      </c>
      <c r="P297" s="10">
        <v>2</v>
      </c>
      <c r="Q297" s="10" t="s">
        <v>90</v>
      </c>
      <c r="R297" s="10" t="s">
        <v>91</v>
      </c>
      <c r="S297" s="10" t="s">
        <v>85</v>
      </c>
    </row>
    <row r="298" spans="1:19" x14ac:dyDescent="0.2">
      <c r="A298" s="8" t="s">
        <v>725</v>
      </c>
      <c r="B298" s="8">
        <v>22</v>
      </c>
      <c r="C298" s="8" t="s">
        <v>216</v>
      </c>
      <c r="D298" s="8">
        <v>11</v>
      </c>
      <c r="E298" s="8" t="s">
        <v>39</v>
      </c>
      <c r="F298" s="8" t="s">
        <v>41</v>
      </c>
      <c r="G298" s="8" t="s">
        <v>517</v>
      </c>
      <c r="H298" s="8" t="s">
        <v>214</v>
      </c>
      <c r="I298" s="8" t="s">
        <v>214</v>
      </c>
      <c r="J298" s="8">
        <v>2</v>
      </c>
      <c r="K298" s="9">
        <v>350</v>
      </c>
      <c r="L298" s="9">
        <v>700</v>
      </c>
      <c r="M298" s="8" t="s">
        <v>75</v>
      </c>
      <c r="N298" s="8">
        <v>0</v>
      </c>
      <c r="O298" s="8">
        <v>12</v>
      </c>
      <c r="P298" s="8">
        <v>10</v>
      </c>
      <c r="Q298" s="8" t="s">
        <v>161</v>
      </c>
      <c r="R298" s="8" t="s">
        <v>77</v>
      </c>
      <c r="S298" s="8" t="s">
        <v>78</v>
      </c>
    </row>
    <row r="299" spans="1:19" x14ac:dyDescent="0.2">
      <c r="A299" s="10" t="s">
        <v>726</v>
      </c>
      <c r="B299" s="10">
        <v>5</v>
      </c>
      <c r="C299" s="10" t="s">
        <v>87</v>
      </c>
      <c r="D299" s="10">
        <v>5</v>
      </c>
      <c r="E299" s="10" t="s">
        <v>22</v>
      </c>
      <c r="F299" s="10" t="s">
        <v>10</v>
      </c>
      <c r="G299" s="10" t="s">
        <v>110</v>
      </c>
      <c r="H299" s="10" t="s">
        <v>178</v>
      </c>
      <c r="I299" s="10" t="s">
        <v>178</v>
      </c>
      <c r="J299" s="10">
        <v>37</v>
      </c>
      <c r="K299" s="11">
        <v>250</v>
      </c>
      <c r="L299" s="11">
        <v>9250</v>
      </c>
      <c r="M299" s="10" t="s">
        <v>75</v>
      </c>
      <c r="N299" s="10">
        <v>0</v>
      </c>
      <c r="O299" s="10">
        <v>10</v>
      </c>
      <c r="P299" s="10">
        <v>12</v>
      </c>
      <c r="Q299" s="10" t="s">
        <v>123</v>
      </c>
      <c r="R299" s="10" t="s">
        <v>77</v>
      </c>
      <c r="S299" s="10" t="s">
        <v>78</v>
      </c>
    </row>
    <row r="300" spans="1:19" x14ac:dyDescent="0.2">
      <c r="A300" s="8" t="s">
        <v>727</v>
      </c>
      <c r="B300" s="8">
        <v>30</v>
      </c>
      <c r="C300" s="8" t="s">
        <v>235</v>
      </c>
      <c r="D300" s="8">
        <v>3</v>
      </c>
      <c r="E300" s="8" t="s">
        <v>16</v>
      </c>
      <c r="F300" s="8" t="s">
        <v>14</v>
      </c>
      <c r="G300" s="8" t="s">
        <v>643</v>
      </c>
      <c r="H300" s="8" t="s">
        <v>720</v>
      </c>
      <c r="I300" s="8" t="s">
        <v>720</v>
      </c>
      <c r="J300" s="8">
        <v>12</v>
      </c>
      <c r="K300" s="9">
        <v>18</v>
      </c>
      <c r="L300" s="9">
        <v>216</v>
      </c>
      <c r="M300" s="8" t="s">
        <v>75</v>
      </c>
      <c r="N300" s="8">
        <v>0</v>
      </c>
      <c r="O300" s="8">
        <v>5</v>
      </c>
      <c r="P300" s="8">
        <v>1</v>
      </c>
      <c r="Q300" s="8" t="s">
        <v>101</v>
      </c>
      <c r="R300" s="8" t="s">
        <v>91</v>
      </c>
      <c r="S300" s="8" t="s">
        <v>85</v>
      </c>
    </row>
    <row r="301" spans="1:19" x14ac:dyDescent="0.2">
      <c r="A301" s="10" t="s">
        <v>728</v>
      </c>
      <c r="B301" s="10">
        <v>26</v>
      </c>
      <c r="C301" s="10" t="s">
        <v>282</v>
      </c>
      <c r="D301" s="10">
        <v>8</v>
      </c>
      <c r="E301" s="10" t="s">
        <v>31</v>
      </c>
      <c r="F301" s="10" t="s">
        <v>33</v>
      </c>
      <c r="G301" s="10" t="s">
        <v>146</v>
      </c>
      <c r="H301" s="10" t="s">
        <v>248</v>
      </c>
      <c r="I301" s="10" t="s">
        <v>248</v>
      </c>
      <c r="J301" s="10">
        <v>29</v>
      </c>
      <c r="K301" s="11">
        <v>85</v>
      </c>
      <c r="L301" s="11">
        <v>2465</v>
      </c>
      <c r="M301" s="10" t="s">
        <v>75</v>
      </c>
      <c r="N301" s="10">
        <v>0</v>
      </c>
      <c r="O301" s="10">
        <v>7</v>
      </c>
      <c r="P301" s="10">
        <v>8</v>
      </c>
      <c r="Q301" s="10" t="s">
        <v>147</v>
      </c>
      <c r="R301" s="10" t="s">
        <v>139</v>
      </c>
      <c r="S301" s="10" t="s">
        <v>78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showGridLines="0" topLeftCell="A38" workbookViewId="0">
      <selection activeCell="F4" sqref="F4"/>
    </sheetView>
  </sheetViews>
  <sheetFormatPr defaultRowHeight="14.25" x14ac:dyDescent="0.2"/>
  <cols>
    <col min="1" max="1" width="20" customWidth="1"/>
    <col min="2" max="2" width="9.5" customWidth="1"/>
    <col min="3" max="3" width="16.375" customWidth="1"/>
    <col min="4" max="4" width="20" customWidth="1"/>
    <col min="5" max="6" width="15" customWidth="1"/>
    <col min="7" max="7" width="15.75" style="12" customWidth="1"/>
    <col min="8" max="8" width="13.375" customWidth="1"/>
    <col min="9" max="9" width="13" customWidth="1"/>
    <col min="10" max="10" width="14.375" hidden="1" customWidth="1"/>
    <col min="11" max="11" width="9" hidden="1" customWidth="1"/>
  </cols>
  <sheetData>
    <row r="1" spans="1:11" ht="30" customHeight="1" x14ac:dyDescent="0.2">
      <c r="A1" s="25" t="s">
        <v>762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0" customHeight="1" x14ac:dyDescent="0.2">
      <c r="A2" s="26" t="s">
        <v>763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2">
      <c r="A3" t="s">
        <v>53</v>
      </c>
      <c r="B3" t="s">
        <v>729</v>
      </c>
      <c r="C3" t="s">
        <v>1</v>
      </c>
      <c r="D3" t="s">
        <v>3</v>
      </c>
      <c r="E3" t="s">
        <v>730</v>
      </c>
      <c r="F3" t="s">
        <v>7</v>
      </c>
      <c r="G3" s="12" t="s">
        <v>62</v>
      </c>
      <c r="H3" t="s">
        <v>63</v>
      </c>
      <c r="I3" t="s">
        <v>64</v>
      </c>
      <c r="J3" t="s">
        <v>731</v>
      </c>
    </row>
    <row r="4" spans="1:11" x14ac:dyDescent="0.2">
      <c r="A4" t="s">
        <v>70</v>
      </c>
      <c r="B4">
        <f>VLOOKUP(Tabela3[[#This Row],[ID Pedido]],tPed[#All],4,0)</f>
        <v>8</v>
      </c>
      <c r="C4" t="str">
        <f>VLOOKUP(Tabela3[[#This Row],[ID Pedido]],tPed[#All],5,0)</f>
        <v>EduMaterial</v>
      </c>
      <c r="D4" t="str">
        <f>VLOOKUP(Tabela3[[#This Row],[ID Pedido]],tPed[#All],6,0)</f>
        <v>Material Didático</v>
      </c>
      <c r="E4">
        <f>VLOOKUP(Tabela3[[#This Row],[ID Fonr]],tForn[],7,0)</f>
        <v>7</v>
      </c>
      <c r="F4">
        <f>VLOOKUP(Tabela3[[#This Row],[Fornecedor]],tForn[[Fornecedor]:[Avaliacao]],7,0)</f>
        <v>4.5999999999999996</v>
      </c>
      <c r="G4" s="12">
        <f>VLOOKUP(Tabela3[[#This Row],[ID Pedido]],tPed[#All],12,0)</f>
        <v>2160</v>
      </c>
      <c r="H4" t="str">
        <f>VLOOKUP(Tabela3[[#This Row],[ID Pedido]],tPed[],13,0)</f>
        <v>Entregue</v>
      </c>
      <c r="I4">
        <f>VLOOKUP(Tabela3[[#This Row],[ID Pedido]],tPed[],14,0)</f>
        <v>6</v>
      </c>
      <c r="J4" t="str">
        <f>IF(Tabela3[[#This Row],[Avaliacao]]&gt;=4.5,"Excelente",IF(F3&gt;=3.5,"Bom",IF(F3&gt;=2.5,"Regular","Critico")))</f>
        <v>Excelente</v>
      </c>
    </row>
    <row r="5" spans="1:11" x14ac:dyDescent="0.2">
      <c r="A5" t="s">
        <v>79</v>
      </c>
      <c r="B5">
        <f>VLOOKUP(Tabela3[[#This Row],[ID Pedido]],tPed[#All],4,0)</f>
        <v>1</v>
      </c>
      <c r="C5" t="str">
        <f>VLOOKUP(Tabela3[[#This Row],[ID Pedido]],tPed[#All],5,0)</f>
        <v>TechSupply Ltda</v>
      </c>
      <c r="D5" t="str">
        <f>VLOOKUP(Tabela3[[#This Row],[ID Pedido]],tPed[#All],6,0)</f>
        <v>Tecnologia</v>
      </c>
      <c r="E5">
        <f>VLOOKUP(Tabela3[[#This Row],[ID Fonr]],tForn[],7,0)</f>
        <v>7</v>
      </c>
      <c r="F5">
        <f>VLOOKUP(Tabela3[[#This Row],[Fornecedor]],tForn[[Fornecedor]:[Avaliacao]],7,0)</f>
        <v>4.5</v>
      </c>
      <c r="G5" s="12">
        <f>VLOOKUP(Tabela3[[#This Row],[ID Pedido]],tPed[#All],12,0)</f>
        <v>168000</v>
      </c>
      <c r="H5" t="str">
        <f>VLOOKUP(Tabela3[[#This Row],[ID Pedido]],tPed[],13,0)</f>
        <v>Entregue</v>
      </c>
      <c r="I5">
        <f>VLOOKUP(Tabela3[[#This Row],[ID Pedido]],tPed[],14,0)</f>
        <v>0</v>
      </c>
      <c r="J5" t="str">
        <f>IF(Tabela3[[#This Row],[Avaliacao]]&gt;=4.5,"Excelente",IF(F4&gt;=3.5,"Bom",IF(F4&gt;=2.5,"Regular","Critico")))</f>
        <v>Excelente</v>
      </c>
    </row>
    <row r="6" spans="1:11" x14ac:dyDescent="0.2">
      <c r="A6" t="s">
        <v>86</v>
      </c>
      <c r="B6">
        <f>VLOOKUP(Tabela3[[#This Row],[ID Pedido]],tPed[#All],4,0)</f>
        <v>5</v>
      </c>
      <c r="C6" t="str">
        <f>VLOOKUP(Tabela3[[#This Row],[ID Pedido]],tPed[#All],5,0)</f>
        <v>InfoEquip</v>
      </c>
      <c r="D6" t="str">
        <f>VLOOKUP(Tabela3[[#This Row],[ID Pedido]],tPed[#All],6,0)</f>
        <v>Tecnologia</v>
      </c>
      <c r="E6">
        <f>VLOOKUP(Tabela3[[#This Row],[ID Fonr]],tForn[],7,0)</f>
        <v>10</v>
      </c>
      <c r="F6">
        <f>VLOOKUP(Tabela3[[#This Row],[Fornecedor]],tForn[[Fornecedor]:[Avaliacao]],7,0)</f>
        <v>3.9</v>
      </c>
      <c r="G6" s="12">
        <f>VLOOKUP(Tabela3[[#This Row],[ID Pedido]],tPed[#All],12,0)</f>
        <v>8750</v>
      </c>
      <c r="H6" t="str">
        <f>VLOOKUP(Tabela3[[#This Row],[ID Pedido]],tPed[],13,0)</f>
        <v>Entregue</v>
      </c>
      <c r="I6">
        <f>VLOOKUP(Tabela3[[#This Row],[ID Pedido]],tPed[],14,0)</f>
        <v>0</v>
      </c>
      <c r="J6" t="str">
        <f>IF(Tabela3[[#This Row],[Avaliacao]]&gt;=4.5,"Excelente",IF(F5&gt;=3.5,"Bom",IF(F5&gt;=2.5,"Regular","Critico")))</f>
        <v>Bom</v>
      </c>
    </row>
    <row r="7" spans="1:11" x14ac:dyDescent="0.2">
      <c r="A7" t="s">
        <v>92</v>
      </c>
      <c r="B7">
        <f>VLOOKUP(Tabela3[[#This Row],[ID Pedido]],tPed[#All],4,0)</f>
        <v>1</v>
      </c>
      <c r="C7" t="str">
        <f>VLOOKUP(Tabela3[[#This Row],[ID Pedido]],tPed[#All],5,0)</f>
        <v>TechSupply Ltda</v>
      </c>
      <c r="D7" t="str">
        <f>VLOOKUP(Tabela3[[#This Row],[ID Pedido]],tPed[#All],6,0)</f>
        <v>Tecnologia</v>
      </c>
      <c r="E7">
        <f>VLOOKUP(Tabela3[[#This Row],[ID Fonr]],tForn[],7,0)</f>
        <v>7</v>
      </c>
      <c r="F7">
        <f>VLOOKUP(Tabela3[[#This Row],[Fornecedor]],tForn[[Fornecedor]:[Avaliacao]],7,0)</f>
        <v>4.5</v>
      </c>
      <c r="G7" s="12">
        <f>VLOOKUP(Tabela3[[#This Row],[ID Pedido]],tPed[#All],12,0)</f>
        <v>240</v>
      </c>
      <c r="H7" t="str">
        <f>VLOOKUP(Tabela3[[#This Row],[ID Pedido]],tPed[],13,0)</f>
        <v>Entregue</v>
      </c>
      <c r="I7">
        <f>VLOOKUP(Tabela3[[#This Row],[ID Pedido]],tPed[],14,0)</f>
        <v>0</v>
      </c>
      <c r="J7" t="str">
        <f>IF(Tabela3[[#This Row],[Avaliacao]]&gt;=4.5,"Excelente",IF(F6&gt;=3.5,"Bom",IF(F6&gt;=2.5,"Regular","Critico")))</f>
        <v>Excelente</v>
      </c>
    </row>
    <row r="8" spans="1:11" x14ac:dyDescent="0.2">
      <c r="A8" t="s">
        <v>96</v>
      </c>
      <c r="B8">
        <f>VLOOKUP(Tabela3[[#This Row],[ID Pedido]],tPed[#All],4,0)</f>
        <v>8</v>
      </c>
      <c r="C8" t="str">
        <f>VLOOKUP(Tabela3[[#This Row],[ID Pedido]],tPed[#All],5,0)</f>
        <v>EduMaterial</v>
      </c>
      <c r="D8" t="str">
        <f>VLOOKUP(Tabela3[[#This Row],[ID Pedido]],tPed[#All],6,0)</f>
        <v>Material Didático</v>
      </c>
      <c r="E8">
        <f>VLOOKUP(Tabela3[[#This Row],[ID Fonr]],tForn[],7,0)</f>
        <v>7</v>
      </c>
      <c r="F8">
        <f>VLOOKUP(Tabela3[[#This Row],[Fornecedor]],tForn[[Fornecedor]:[Avaliacao]],7,0)</f>
        <v>4.5999999999999996</v>
      </c>
      <c r="G8" s="12">
        <f>VLOOKUP(Tabela3[[#This Row],[ID Pedido]],tPed[#All],12,0)</f>
        <v>1320</v>
      </c>
      <c r="H8" t="str">
        <f>VLOOKUP(Tabela3[[#This Row],[ID Pedido]],tPed[],13,0)</f>
        <v>Entregue</v>
      </c>
      <c r="I8">
        <f>VLOOKUP(Tabela3[[#This Row],[ID Pedido]],tPed[],14,0)</f>
        <v>2</v>
      </c>
      <c r="J8" t="str">
        <f>IF(Tabela3[[#This Row],[Avaliacao]]&gt;=4.5,"Excelente",IF(F7&gt;=3.5,"Bom",IF(F7&gt;=2.5,"Regular","Critico")))</f>
        <v>Excelente</v>
      </c>
    </row>
    <row r="9" spans="1:11" x14ac:dyDescent="0.2">
      <c r="A9" t="s">
        <v>102</v>
      </c>
      <c r="B9">
        <f>VLOOKUP(Tabela3[[#This Row],[ID Pedido]],tPed[#All],4,0)</f>
        <v>6</v>
      </c>
      <c r="C9" t="str">
        <f>VLOOKUP(Tabela3[[#This Row],[ID Pedido]],tPed[#All],5,0)</f>
        <v>MobiDesk</v>
      </c>
      <c r="D9" t="str">
        <f>VLOOKUP(Tabela3[[#This Row],[ID Pedido]],tPed[#All],6,0)</f>
        <v>Mobiliário</v>
      </c>
      <c r="E9">
        <f>VLOOKUP(Tabela3[[#This Row],[ID Fonr]],tForn[],7,0)</f>
        <v>15</v>
      </c>
      <c r="F9">
        <f>VLOOKUP(Tabela3[[#This Row],[Fornecedor]],tForn[[Fornecedor]:[Avaliacao]],7,0)</f>
        <v>4.3</v>
      </c>
      <c r="G9" s="12">
        <f>VLOOKUP(Tabela3[[#This Row],[ID Pedido]],tPed[#All],12,0)</f>
        <v>41400</v>
      </c>
      <c r="H9" t="str">
        <f>VLOOKUP(Tabela3[[#This Row],[ID Pedido]],tPed[],13,0)</f>
        <v>Entregue</v>
      </c>
      <c r="I9">
        <f>VLOOKUP(Tabela3[[#This Row],[ID Pedido]],tPed[],14,0)</f>
        <v>2</v>
      </c>
      <c r="J9" t="str">
        <f>IF(Tabela3[[#This Row],[Avaliacao]]&gt;=4.5,"Excelente",IF(F8&gt;=3.5,"Bom",IF(F8&gt;=2.5,"Regular","Critico")))</f>
        <v>Bom</v>
      </c>
    </row>
    <row r="10" spans="1:11" x14ac:dyDescent="0.2">
      <c r="A10" t="s">
        <v>107</v>
      </c>
      <c r="B10">
        <f>VLOOKUP(Tabela3[[#This Row],[ID Pedido]],tPed[#All],4,0)</f>
        <v>11</v>
      </c>
      <c r="C10" t="str">
        <f>VLOOKUP(Tabela3[[#This Row],[ID Pedido]],tPed[#All],5,0)</f>
        <v>AudioVisual Pro</v>
      </c>
      <c r="D10" t="str">
        <f>VLOOKUP(Tabela3[[#This Row],[ID Pedido]],tPed[#All],6,0)</f>
        <v>Audiovisual</v>
      </c>
      <c r="E10">
        <f>VLOOKUP(Tabela3[[#This Row],[ID Fonr]],tForn[],7,0)</f>
        <v>12</v>
      </c>
      <c r="F10">
        <f>VLOOKUP(Tabela3[[#This Row],[Fornecedor]],tForn[[Fornecedor]:[Avaliacao]],7,0)</f>
        <v>3.7</v>
      </c>
      <c r="G10" s="12">
        <f>VLOOKUP(Tabela3[[#This Row],[ID Pedido]],tPed[#All],12,0)</f>
        <v>75600</v>
      </c>
      <c r="H10" t="str">
        <f>VLOOKUP(Tabela3[[#This Row],[ID Pedido]],tPed[],13,0)</f>
        <v>Entregue</v>
      </c>
      <c r="I10">
        <f>VLOOKUP(Tabela3[[#This Row],[ID Pedido]],tPed[],14,0)</f>
        <v>0</v>
      </c>
      <c r="J10" t="str">
        <f>IF(Tabela3[[#This Row],[Avaliacao]]&gt;=4.5,"Excelente",IF(F9&gt;=3.5,"Bom",IF(F9&gt;=2.5,"Regular","Critico")))</f>
        <v>Bom</v>
      </c>
    </row>
    <row r="11" spans="1:11" x14ac:dyDescent="0.2">
      <c r="A11" t="s">
        <v>111</v>
      </c>
      <c r="B11">
        <f>VLOOKUP(Tabela3[[#This Row],[ID Pedido]],tPed[#All],4,0)</f>
        <v>4</v>
      </c>
      <c r="C11" t="str">
        <f>VLOOKUP(Tabela3[[#This Row],[ID Pedido]],tPed[#All],5,0)</f>
        <v>CleanPro Higiene</v>
      </c>
      <c r="D11" t="str">
        <f>VLOOKUP(Tabela3[[#This Row],[ID Pedido]],tPed[#All],6,0)</f>
        <v>Limpeza</v>
      </c>
      <c r="E11">
        <f>VLOOKUP(Tabela3[[#This Row],[ID Fonr]],tForn[],7,0)</f>
        <v>3</v>
      </c>
      <c r="F11">
        <f>VLOOKUP(Tabela3[[#This Row],[Fornecedor]],tForn[[Fornecedor]:[Avaliacao]],7,0)</f>
        <v>4.8</v>
      </c>
      <c r="G11" s="12">
        <f>VLOOKUP(Tabela3[[#This Row],[ID Pedido]],tPed[#All],12,0)</f>
        <v>324</v>
      </c>
      <c r="H11" t="str">
        <f>VLOOKUP(Tabela3[[#This Row],[ID Pedido]],tPed[],13,0)</f>
        <v>Entregue</v>
      </c>
      <c r="I11">
        <f>VLOOKUP(Tabela3[[#This Row],[ID Pedido]],tPed[],14,0)</f>
        <v>0</v>
      </c>
      <c r="J11" t="str">
        <f>IF(Tabela3[[#This Row],[Avaliacao]]&gt;=4.5,"Excelente",IF(F10&gt;=3.5,"Bom",IF(F10&gt;=2.5,"Regular","Critico")))</f>
        <v>Excelente</v>
      </c>
    </row>
    <row r="12" spans="1:11" x14ac:dyDescent="0.2">
      <c r="A12" t="s">
        <v>116</v>
      </c>
      <c r="B12">
        <f>VLOOKUP(Tabela3[[#This Row],[ID Pedido]],tPed[#All],4,0)</f>
        <v>6</v>
      </c>
      <c r="C12" t="str">
        <f>VLOOKUP(Tabela3[[#This Row],[ID Pedido]],tPed[#All],5,0)</f>
        <v>MobiDesk</v>
      </c>
      <c r="D12" t="str">
        <f>VLOOKUP(Tabela3[[#This Row],[ID Pedido]],tPed[#All],6,0)</f>
        <v>Mobiliário</v>
      </c>
      <c r="E12">
        <f>VLOOKUP(Tabela3[[#This Row],[ID Fonr]],tForn[],7,0)</f>
        <v>15</v>
      </c>
      <c r="F12">
        <f>VLOOKUP(Tabela3[[#This Row],[Fornecedor]],tForn[[Fornecedor]:[Avaliacao]],7,0)</f>
        <v>4.3</v>
      </c>
      <c r="G12" s="12">
        <f>VLOOKUP(Tabela3[[#This Row],[ID Pedido]],tPed[#All],12,0)</f>
        <v>9900</v>
      </c>
      <c r="H12" t="str">
        <f>VLOOKUP(Tabela3[[#This Row],[ID Pedido]],tPed[],13,0)</f>
        <v>Entregue</v>
      </c>
      <c r="I12">
        <f>VLOOKUP(Tabela3[[#This Row],[ID Pedido]],tPed[],14,0)</f>
        <v>0</v>
      </c>
      <c r="J12" t="str">
        <f>IF(Tabela3[[#This Row],[Avaliacao]]&gt;=4.5,"Excelente",IF(F11&gt;=3.5,"Bom",IF(F11&gt;=2.5,"Regular","Critico")))</f>
        <v>Bom</v>
      </c>
    </row>
    <row r="13" spans="1:11" x14ac:dyDescent="0.2">
      <c r="A13" t="s">
        <v>119</v>
      </c>
      <c r="B13">
        <f>VLOOKUP(Tabela3[[#This Row],[ID Pedido]],tPed[#All],4,0)</f>
        <v>6</v>
      </c>
      <c r="C13" t="str">
        <f>VLOOKUP(Tabela3[[#This Row],[ID Pedido]],tPed[#All],5,0)</f>
        <v>MobiDesk</v>
      </c>
      <c r="D13" t="str">
        <f>VLOOKUP(Tabela3[[#This Row],[ID Pedido]],tPed[#All],6,0)</f>
        <v>Mobiliário</v>
      </c>
      <c r="E13">
        <f>VLOOKUP(Tabela3[[#This Row],[ID Fonr]],tForn[],7,0)</f>
        <v>15</v>
      </c>
      <c r="F13">
        <f>VLOOKUP(Tabela3[[#This Row],[Fornecedor]],tForn[[Fornecedor]:[Avaliacao]],7,0)</f>
        <v>4.3</v>
      </c>
      <c r="G13" s="12">
        <f>VLOOKUP(Tabela3[[#This Row],[ID Pedido]],tPed[#All],12,0)</f>
        <v>21600</v>
      </c>
      <c r="H13" t="str">
        <f>VLOOKUP(Tabela3[[#This Row],[ID Pedido]],tPed[],13,0)</f>
        <v>Entregue</v>
      </c>
      <c r="I13">
        <f>VLOOKUP(Tabela3[[#This Row],[ID Pedido]],tPed[],14,0)</f>
        <v>0</v>
      </c>
      <c r="J13" t="str">
        <f>IF(Tabela3[[#This Row],[Avaliacao]]&gt;=4.5,"Excelente",IF(F12&gt;=3.5,"Bom",IF(F12&gt;=2.5,"Regular","Critico")))</f>
        <v>Bom</v>
      </c>
    </row>
    <row r="14" spans="1:11" x14ac:dyDescent="0.2">
      <c r="A14" t="s">
        <v>124</v>
      </c>
      <c r="B14">
        <f>VLOOKUP(Tabela3[[#This Row],[ID Pedido]],tPed[#All],4,0)</f>
        <v>2</v>
      </c>
      <c r="C14" t="str">
        <f>VLOOKUP(Tabela3[[#This Row],[ID Pedido]],tPed[#All],5,0)</f>
        <v>OfficeMax Brasil</v>
      </c>
      <c r="D14" t="str">
        <f>VLOOKUP(Tabela3[[#This Row],[ID Pedido]],tPed[#All],6,0)</f>
        <v>Material de Escritório</v>
      </c>
      <c r="E14">
        <f>VLOOKUP(Tabela3[[#This Row],[ID Fonr]],tForn[],7,0)</f>
        <v>5</v>
      </c>
      <c r="F14">
        <f>VLOOKUP(Tabela3[[#This Row],[Fornecedor]],tForn[[Fornecedor]:[Avaliacao]],7,0)</f>
        <v>4.2</v>
      </c>
      <c r="G14" s="12">
        <f>VLOOKUP(Tabela3[[#This Row],[ID Pedido]],tPed[#All],12,0)</f>
        <v>882</v>
      </c>
      <c r="H14" t="str">
        <f>VLOOKUP(Tabela3[[#This Row],[ID Pedido]],tPed[],13,0)</f>
        <v>Entregue</v>
      </c>
      <c r="I14">
        <f>VLOOKUP(Tabela3[[#This Row],[ID Pedido]],tPed[],14,0)</f>
        <v>0</v>
      </c>
      <c r="J14" t="str">
        <f>IF(Tabela3[[#This Row],[Avaliacao]]&gt;=4.5,"Excelente",IF(F13&gt;=3.5,"Bom",IF(F13&gt;=2.5,"Regular","Critico")))</f>
        <v>Bom</v>
      </c>
    </row>
    <row r="15" spans="1:11" x14ac:dyDescent="0.2">
      <c r="A15" t="s">
        <v>129</v>
      </c>
      <c r="B15">
        <f>VLOOKUP(Tabela3[[#This Row],[ID Pedido]],tPed[#All],4,0)</f>
        <v>2</v>
      </c>
      <c r="C15" t="str">
        <f>VLOOKUP(Tabela3[[#This Row],[ID Pedido]],tPed[#All],5,0)</f>
        <v>OfficeMax Brasil</v>
      </c>
      <c r="D15" t="str">
        <f>VLOOKUP(Tabela3[[#This Row],[ID Pedido]],tPed[#All],6,0)</f>
        <v>Material de Escritório</v>
      </c>
      <c r="E15">
        <f>VLOOKUP(Tabela3[[#This Row],[ID Fonr]],tForn[],7,0)</f>
        <v>5</v>
      </c>
      <c r="F15">
        <f>VLOOKUP(Tabela3[[#This Row],[Fornecedor]],tForn[[Fornecedor]:[Avaliacao]],7,0)</f>
        <v>4.2</v>
      </c>
      <c r="G15" s="12">
        <f>VLOOKUP(Tabela3[[#This Row],[ID Pedido]],tPed[#All],12,0)</f>
        <v>245</v>
      </c>
      <c r="H15" t="str">
        <f>VLOOKUP(Tabela3[[#This Row],[ID Pedido]],tPed[],13,0)</f>
        <v>Entregue</v>
      </c>
      <c r="I15">
        <f>VLOOKUP(Tabela3[[#This Row],[ID Pedido]],tPed[],14,0)</f>
        <v>4</v>
      </c>
      <c r="J15" t="str">
        <f>IF(Tabela3[[#This Row],[Avaliacao]]&gt;=4.5,"Excelente",IF(F14&gt;=3.5,"Bom",IF(F14&gt;=2.5,"Regular","Critico")))</f>
        <v>Bom</v>
      </c>
    </row>
    <row r="16" spans="1:11" x14ac:dyDescent="0.2">
      <c r="A16" t="s">
        <v>135</v>
      </c>
      <c r="B16">
        <f>VLOOKUP(Tabela3[[#This Row],[ID Pedido]],tPed[#All],4,0)</f>
        <v>6</v>
      </c>
      <c r="C16" t="str">
        <f>VLOOKUP(Tabela3[[#This Row],[ID Pedido]],tPed[#All],5,0)</f>
        <v>MobiDesk</v>
      </c>
      <c r="D16" t="str">
        <f>VLOOKUP(Tabela3[[#This Row],[ID Pedido]],tPed[#All],6,0)</f>
        <v>Mobiliário</v>
      </c>
      <c r="E16">
        <f>VLOOKUP(Tabela3[[#This Row],[ID Fonr]],tForn[],7,0)</f>
        <v>15</v>
      </c>
      <c r="F16">
        <f>VLOOKUP(Tabela3[[#This Row],[Fornecedor]],tForn[[Fornecedor]:[Avaliacao]],7,0)</f>
        <v>4.3</v>
      </c>
      <c r="G16" s="12">
        <f>VLOOKUP(Tabela3[[#This Row],[ID Pedido]],tPed[#All],12,0)</f>
        <v>35100</v>
      </c>
      <c r="H16" t="str">
        <f>VLOOKUP(Tabela3[[#This Row],[ID Pedido]],tPed[],13,0)</f>
        <v>Entregue</v>
      </c>
      <c r="I16">
        <f>VLOOKUP(Tabela3[[#This Row],[ID Pedido]],tPed[],14,0)</f>
        <v>0</v>
      </c>
      <c r="J16" t="str">
        <f>IF(Tabela3[[#This Row],[Avaliacao]]&gt;=4.5,"Excelente",IF(F15&gt;=3.5,"Bom",IF(F15&gt;=2.5,"Regular","Critico")))</f>
        <v>Bom</v>
      </c>
    </row>
    <row r="17" spans="1:11" x14ac:dyDescent="0.2">
      <c r="A17" t="s">
        <v>140</v>
      </c>
      <c r="B17">
        <f>VLOOKUP(Tabela3[[#This Row],[ID Pedido]],tPed[#All],4,0)</f>
        <v>4</v>
      </c>
      <c r="C17" t="str">
        <f>VLOOKUP(Tabela3[[#This Row],[ID Pedido]],tPed[#All],5,0)</f>
        <v>CleanPro Higiene</v>
      </c>
      <c r="D17" t="str">
        <f>VLOOKUP(Tabela3[[#This Row],[ID Pedido]],tPed[#All],6,0)</f>
        <v>Limpeza</v>
      </c>
      <c r="E17">
        <f>VLOOKUP(Tabela3[[#This Row],[ID Fonr]],tForn[],7,0)</f>
        <v>3</v>
      </c>
      <c r="F17">
        <f>VLOOKUP(Tabela3[[#This Row],[Fornecedor]],tForn[[Fornecedor]:[Avaliacao]],7,0)</f>
        <v>4.8</v>
      </c>
      <c r="G17" s="12">
        <f>VLOOKUP(Tabela3[[#This Row],[ID Pedido]],tPed[#All],12,0)</f>
        <v>3055</v>
      </c>
      <c r="H17" t="str">
        <f>VLOOKUP(Tabela3[[#This Row],[ID Pedido]],tPed[],13,0)</f>
        <v>Entregue</v>
      </c>
      <c r="I17">
        <f>VLOOKUP(Tabela3[[#This Row],[ID Pedido]],tPed[],14,0)</f>
        <v>0</v>
      </c>
      <c r="J17" t="str">
        <f>IF(Tabela3[[#This Row],[Avaliacao]]&gt;=4.5,"Excelente",IF(F16&gt;=3.5,"Bom",IF(F16&gt;=2.5,"Regular","Critico")))</f>
        <v>Excelente</v>
      </c>
    </row>
    <row r="18" spans="1:11" x14ac:dyDescent="0.2">
      <c r="A18" t="s">
        <v>144</v>
      </c>
      <c r="B18">
        <f>VLOOKUP(Tabela3[[#This Row],[ID Pedido]],tPed[#All],4,0)</f>
        <v>2</v>
      </c>
      <c r="C18" t="str">
        <f>VLOOKUP(Tabela3[[#This Row],[ID Pedido]],tPed[#All],5,0)</f>
        <v>OfficeMax Brasil</v>
      </c>
      <c r="D18" t="str">
        <f>VLOOKUP(Tabela3[[#This Row],[ID Pedido]],tPed[#All],6,0)</f>
        <v>Material de Escritório</v>
      </c>
      <c r="E18">
        <f>VLOOKUP(Tabela3[[#This Row],[ID Fonr]],tForn[],7,0)</f>
        <v>5</v>
      </c>
      <c r="F18">
        <f>VLOOKUP(Tabela3[[#This Row],[Fornecedor]],tForn[[Fornecedor]:[Avaliacao]],7,0)</f>
        <v>4.2</v>
      </c>
      <c r="G18" s="12">
        <f>VLOOKUP(Tabela3[[#This Row],[ID Pedido]],tPed[#All],12,0)</f>
        <v>875</v>
      </c>
      <c r="H18" t="str">
        <f>VLOOKUP(Tabela3[[#This Row],[ID Pedido]],tPed[],13,0)</f>
        <v>Entregue</v>
      </c>
      <c r="I18">
        <f>VLOOKUP(Tabela3[[#This Row],[ID Pedido]],tPed[],14,0)</f>
        <v>0</v>
      </c>
      <c r="J18" t="str">
        <f>IF(Tabela3[[#This Row],[Avaliacao]]&gt;=4.5,"Excelente",IF(F17&gt;=3.5,"Bom",IF(F17&gt;=2.5,"Regular","Critico")))</f>
        <v>Bom</v>
      </c>
    </row>
    <row r="19" spans="1:11" x14ac:dyDescent="0.2">
      <c r="A19" t="s">
        <v>148</v>
      </c>
      <c r="B19">
        <f>VLOOKUP(Tabela3[[#This Row],[ID Pedido]],tPed[#All],4,0)</f>
        <v>10</v>
      </c>
      <c r="C19" t="str">
        <f>VLOOKUP(Tabela3[[#This Row],[ID Pedido]],tPed[#All],5,0)</f>
        <v>NetConnect</v>
      </c>
      <c r="D19" t="str">
        <f>VLOOKUP(Tabela3[[#This Row],[ID Pedido]],tPed[#All],6,0)</f>
        <v>Tecnologia</v>
      </c>
      <c r="E19">
        <f>VLOOKUP(Tabela3[[#This Row],[ID Fonr]],tForn[],7,0)</f>
        <v>10</v>
      </c>
      <c r="F19">
        <f>VLOOKUP(Tabela3[[#This Row],[Fornecedor]],tForn[[Fornecedor]:[Avaliacao]],7,0)</f>
        <v>4.4000000000000004</v>
      </c>
      <c r="G19" s="12">
        <f>VLOOKUP(Tabela3[[#This Row],[ID Pedido]],tPed[#All],12,0)</f>
        <v>15580</v>
      </c>
      <c r="H19" t="str">
        <f>VLOOKUP(Tabela3[[#This Row],[ID Pedido]],tPed[],13,0)</f>
        <v>Entregue</v>
      </c>
      <c r="I19">
        <f>VLOOKUP(Tabela3[[#This Row],[ID Pedido]],tPed[],14,0)</f>
        <v>0</v>
      </c>
      <c r="J19" t="str">
        <f>IF(Tabela3[[#This Row],[Avaliacao]]&gt;=4.5,"Excelente",IF(F18&gt;=3.5,"Bom",IF(F18&gt;=2.5,"Regular","Critico")))</f>
        <v>Bom</v>
      </c>
    </row>
    <row r="21" spans="1:11" ht="15" x14ac:dyDescent="0.2">
      <c r="A21" s="27" t="s">
        <v>764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1" x14ac:dyDescent="0.2">
      <c r="A22" t="s">
        <v>1</v>
      </c>
      <c r="B22" t="s">
        <v>0</v>
      </c>
      <c r="C22" t="s">
        <v>4</v>
      </c>
      <c r="D22" t="s">
        <v>2</v>
      </c>
      <c r="E22" t="s">
        <v>732</v>
      </c>
      <c r="F22" t="s">
        <v>733</v>
      </c>
      <c r="G22" s="12" t="s">
        <v>62</v>
      </c>
    </row>
    <row r="23" spans="1:11" x14ac:dyDescent="0.2">
      <c r="A23" t="s">
        <v>8</v>
      </c>
      <c r="B23">
        <f>INDEX(tForn[ID],MATCH(Tabela4[[#This Row],[Fornecedor]],tForn[Fornecedor],0))</f>
        <v>1</v>
      </c>
      <c r="C23" t="str">
        <f>INDEX(tForn[Cidade],MATCH(Tabela4[[#This Row],[Fornecedor]],tForn[Fornecedor],0))</f>
        <v>São Paulo</v>
      </c>
      <c r="D23" t="str">
        <f>INDEX(tForn[CNPJ],MATCH(Tabela4[[#This Row],[Fornecedor]],tForn[Fornecedor],0))</f>
        <v>12.345.678/0001-01</v>
      </c>
      <c r="E23">
        <f>INDEX(tForn[Prazo Dias],MATCH(Tabela4[[#This Row],[Fornecedor]],tForn[Fornecedor],0))</f>
        <v>7</v>
      </c>
      <c r="F23">
        <f>COUNTIFS(tPed[Fornecedor],Tabela4[[#This Row],[Fornecedor]])</f>
        <v>33</v>
      </c>
      <c r="G23" s="12">
        <f>SUMIFS(tPed[Valor Total],tPed[Fornecedor],$A23)</f>
        <v>1012310</v>
      </c>
    </row>
    <row r="24" spans="1:11" x14ac:dyDescent="0.2">
      <c r="A24" t="s">
        <v>12</v>
      </c>
      <c r="B24">
        <f>INDEX(tForn[ID],MATCH(Tabela4[[#This Row],[Fornecedor]],tForn[Fornecedor],0))</f>
        <v>2</v>
      </c>
      <c r="C24" t="str">
        <f>INDEX(tForn[Cidade],MATCH(Tabela4[[#This Row],[Fornecedor]],tForn[Fornecedor],0))</f>
        <v>Porto Alegre</v>
      </c>
      <c r="D24" t="str">
        <f>INDEX(tForn[CNPJ],MATCH(Tabela4[[#This Row],[Fornecedor]],tForn[Fornecedor],0))</f>
        <v>23.456.789/0001-02</v>
      </c>
      <c r="E24">
        <f>INDEX(tForn[Prazo Dias],MATCH(Tabela4[[#This Row],[Fornecedor]],tForn[Fornecedor],0))</f>
        <v>5</v>
      </c>
      <c r="F24">
        <f>COUNTIFS(tPed[Fornecedor],Tabela4[[#This Row],[Fornecedor]])</f>
        <v>61</v>
      </c>
      <c r="G24" s="12">
        <f>SUMIFS(tPed[Valor Total],tPed[Fornecedor],$A24)</f>
        <v>45861</v>
      </c>
    </row>
    <row r="25" spans="1:11" x14ac:dyDescent="0.2">
      <c r="A25" t="s">
        <v>16</v>
      </c>
      <c r="B25">
        <f>INDEX(tForn[ID],MATCH(Tabela4[[#This Row],[Fornecedor]],tForn[Fornecedor],0))</f>
        <v>3</v>
      </c>
      <c r="C25" t="str">
        <f>INDEX(tForn[Cidade],MATCH(Tabela4[[#This Row],[Fornecedor]],tForn[Fornecedor],0))</f>
        <v>Porto Alegre</v>
      </c>
      <c r="D25" t="str">
        <f>INDEX(tForn[CNPJ],MATCH(Tabela4[[#This Row],[Fornecedor]],tForn[Fornecedor],0))</f>
        <v>34.567.890/0001-03</v>
      </c>
      <c r="E25">
        <f>INDEX(tForn[Prazo Dias],MATCH(Tabela4[[#This Row],[Fornecedor]],tForn[Fornecedor],0))</f>
        <v>5</v>
      </c>
      <c r="F25">
        <f>COUNTIFS(tPed[Fornecedor],Tabela4[[#This Row],[Fornecedor]])</f>
        <v>16</v>
      </c>
      <c r="G25" s="12">
        <f>SUMIFS(tPed[Valor Total],tPed[Fornecedor],$A25)</f>
        <v>5814</v>
      </c>
    </row>
    <row r="26" spans="1:11" x14ac:dyDescent="0.2">
      <c r="A26" t="s">
        <v>18</v>
      </c>
      <c r="B26">
        <f>INDEX(tForn[ID],MATCH(Tabela4[[#This Row],[Fornecedor]],tForn[Fornecedor],0))</f>
        <v>4</v>
      </c>
      <c r="C26" t="str">
        <f>INDEX(tForn[Cidade],MATCH(Tabela4[[#This Row],[Fornecedor]],tForn[Fornecedor],0))</f>
        <v>Caxias do Sul</v>
      </c>
      <c r="D26" t="str">
        <f>INDEX(tForn[CNPJ],MATCH(Tabela4[[#This Row],[Fornecedor]],tForn[Fornecedor],0))</f>
        <v>45.678.901/0001-04</v>
      </c>
      <c r="E26">
        <f>INDEX(tForn[Prazo Dias],MATCH(Tabela4[[#This Row],[Fornecedor]],tForn[Fornecedor],0))</f>
        <v>3</v>
      </c>
      <c r="F26">
        <f>COUNTIFS(tPed[Fornecedor],Tabela4[[#This Row],[Fornecedor]])</f>
        <v>36</v>
      </c>
      <c r="G26" s="12">
        <f>SUMIFS(tPed[Valor Total],tPed[Fornecedor],$A26)</f>
        <v>30508</v>
      </c>
    </row>
    <row r="27" spans="1:11" x14ac:dyDescent="0.2">
      <c r="A27" t="s">
        <v>22</v>
      </c>
      <c r="B27">
        <f>INDEX(tForn[ID],MATCH(Tabela4[[#This Row],[Fornecedor]],tForn[Fornecedor],0))</f>
        <v>5</v>
      </c>
      <c r="C27" t="str">
        <f>INDEX(tForn[Cidade],MATCH(Tabela4[[#This Row],[Fornecedor]],tForn[Fornecedor],0))</f>
        <v>São Paulo</v>
      </c>
      <c r="D27" t="str">
        <f>INDEX(tForn[CNPJ],MATCH(Tabela4[[#This Row],[Fornecedor]],tForn[Fornecedor],0))</f>
        <v>56.789.012/0001-05</v>
      </c>
      <c r="E27">
        <f>INDEX(tForn[Prazo Dias],MATCH(Tabela4[[#This Row],[Fornecedor]],tForn[Fornecedor],0))</f>
        <v>10</v>
      </c>
      <c r="F27">
        <f>COUNTIFS(tPed[Fornecedor],Tabela4[[#This Row],[Fornecedor]])</f>
        <v>9</v>
      </c>
      <c r="G27" s="12">
        <f>SUMIFS(tPed[Valor Total],tPed[Fornecedor],$A27)</f>
        <v>58750</v>
      </c>
    </row>
    <row r="28" spans="1:11" x14ac:dyDescent="0.2">
      <c r="A28" t="s">
        <v>24</v>
      </c>
      <c r="B28">
        <f>INDEX(tForn[ID],MATCH(Tabela4[[#This Row],[Fornecedor]],tForn[Fornecedor],0))</f>
        <v>6</v>
      </c>
      <c r="C28" t="str">
        <f>INDEX(tForn[Cidade],MATCH(Tabela4[[#This Row],[Fornecedor]],tForn[Fornecedor],0))</f>
        <v>Curitiba</v>
      </c>
      <c r="D28" t="str">
        <f>INDEX(tForn[CNPJ],MATCH(Tabela4[[#This Row],[Fornecedor]],tForn[Fornecedor],0))</f>
        <v>67.890.123/0001-06</v>
      </c>
      <c r="E28">
        <f>INDEX(tForn[Prazo Dias],MATCH(Tabela4[[#This Row],[Fornecedor]],tForn[Fornecedor],0))</f>
        <v>15</v>
      </c>
      <c r="F28">
        <f>COUNTIFS(tPed[Fornecedor],Tabela4[[#This Row],[Fornecedor]])</f>
        <v>42</v>
      </c>
      <c r="G28" s="12">
        <f>SUMIFS(tPed[Valor Total],tPed[Fornecedor],$A28)</f>
        <v>894160</v>
      </c>
    </row>
    <row r="29" spans="1:11" x14ac:dyDescent="0.2">
      <c r="A29" t="s">
        <v>28</v>
      </c>
      <c r="B29">
        <f>INDEX(tForn[ID],MATCH(Tabela4[[#This Row],[Fornecedor]],tForn[Fornecedor],0))</f>
        <v>7</v>
      </c>
      <c r="C29" t="str">
        <f>INDEX(tForn[Cidade],MATCH(Tabela4[[#This Row],[Fornecedor]],tForn[Fornecedor],0))</f>
        <v>Rio de Janeiro</v>
      </c>
      <c r="D29" t="str">
        <f>INDEX(tForn[CNPJ],MATCH(Tabela4[[#This Row],[Fornecedor]],tForn[Fornecedor],0))</f>
        <v>78.901.234/0001-07</v>
      </c>
      <c r="E29">
        <f>INDEX(tForn[Prazo Dias],MATCH(Tabela4[[#This Row],[Fornecedor]],tForn[Fornecedor],0))</f>
        <v>10</v>
      </c>
      <c r="F29">
        <f>COUNTIFS(tPed[Fornecedor],Tabela4[[#This Row],[Fornecedor]])</f>
        <v>0</v>
      </c>
      <c r="G29" s="12">
        <f>SUMIFS(tPed[Valor Total],tPed[Fornecedor],$A29)</f>
        <v>0</v>
      </c>
    </row>
    <row r="30" spans="1:11" x14ac:dyDescent="0.2">
      <c r="A30" t="s">
        <v>31</v>
      </c>
      <c r="B30">
        <f>INDEX(tForn[ID],MATCH(Tabela4[[#This Row],[Fornecedor]],tForn[Fornecedor],0))</f>
        <v>8</v>
      </c>
      <c r="C30" t="str">
        <f>INDEX(tForn[Cidade],MATCH(Tabela4[[#This Row],[Fornecedor]],tForn[Fornecedor],0))</f>
        <v>Porto Alegre</v>
      </c>
      <c r="D30" t="str">
        <f>INDEX(tForn[CNPJ],MATCH(Tabela4[[#This Row],[Fornecedor]],tForn[Fornecedor],0))</f>
        <v>89.012.345/0001-08</v>
      </c>
      <c r="E30">
        <f>INDEX(tForn[Prazo Dias],MATCH(Tabela4[[#This Row],[Fornecedor]],tForn[Fornecedor],0))</f>
        <v>7</v>
      </c>
      <c r="F30">
        <f>COUNTIFS(tPed[Fornecedor],Tabela4[[#This Row],[Fornecedor]])</f>
        <v>38</v>
      </c>
      <c r="G30" s="12">
        <f>SUMIFS(tPed[Valor Total],tPed[Fornecedor],$A30)</f>
        <v>86375</v>
      </c>
    </row>
    <row r="31" spans="1:11" x14ac:dyDescent="0.2">
      <c r="A31" t="s">
        <v>34</v>
      </c>
      <c r="B31">
        <f>INDEX(tForn[ID],MATCH(Tabela4[[#This Row],[Fornecedor]],tForn[Fornecedor],0))</f>
        <v>9</v>
      </c>
      <c r="C31" t="str">
        <f>INDEX(tForn[Cidade],MATCH(Tabela4[[#This Row],[Fornecedor]],tForn[Fornecedor],0))</f>
        <v>Porto Alegre</v>
      </c>
      <c r="D31" t="str">
        <f>INDEX(tForn[CNPJ],MATCH(Tabela4[[#This Row],[Fornecedor]],tForn[Fornecedor],0))</f>
        <v>90.123.456/0001-09</v>
      </c>
      <c r="E31">
        <f>INDEX(tForn[Prazo Dias],MATCH(Tabela4[[#This Row],[Fornecedor]],tForn[Fornecedor],0))</f>
        <v>5</v>
      </c>
      <c r="F31">
        <f>COUNTIFS(tPed[Fornecedor],Tabela4[[#This Row],[Fornecedor]])</f>
        <v>0</v>
      </c>
      <c r="G31" s="12">
        <f>SUMIFS(tPed[Valor Total],tPed[Fornecedor],$A31)</f>
        <v>0</v>
      </c>
    </row>
    <row r="32" spans="1:11" x14ac:dyDescent="0.2">
      <c r="A32" t="s">
        <v>37</v>
      </c>
      <c r="B32">
        <f>INDEX(tForn[ID],MATCH(Tabela4[[#This Row],[Fornecedor]],tForn[Fornecedor],0))</f>
        <v>10</v>
      </c>
      <c r="C32" t="str">
        <f>INDEX(tForn[Cidade],MATCH(Tabela4[[#This Row],[Fornecedor]],tForn[Fornecedor],0))</f>
        <v>São Paulo</v>
      </c>
      <c r="D32" t="str">
        <f>INDEX(tForn[CNPJ],MATCH(Tabela4[[#This Row],[Fornecedor]],tForn[Fornecedor],0))</f>
        <v>01.234.567/0001-10</v>
      </c>
      <c r="E32">
        <f>INDEX(tForn[Prazo Dias],MATCH(Tabela4[[#This Row],[Fornecedor]],tForn[Fornecedor],0))</f>
        <v>10</v>
      </c>
      <c r="F32">
        <f>COUNTIFS(tPed[Fornecedor],Tabela4[[#This Row],[Fornecedor]])</f>
        <v>29</v>
      </c>
      <c r="G32" s="12">
        <f>SUMIFS(tPed[Valor Total],tPed[Fornecedor],$A32)</f>
        <v>158600</v>
      </c>
    </row>
    <row r="33" spans="1:11" x14ac:dyDescent="0.2">
      <c r="A33" t="s">
        <v>39</v>
      </c>
      <c r="B33">
        <f>INDEX(tForn[ID],MATCH(Tabela4[[#This Row],[Fornecedor]],tForn[Fornecedor],0))</f>
        <v>11</v>
      </c>
      <c r="C33" t="str">
        <f>INDEX(tForn[Cidade],MATCH(Tabela4[[#This Row],[Fornecedor]],tForn[Fornecedor],0))</f>
        <v>Belo Horizonte</v>
      </c>
      <c r="D33" t="str">
        <f>INDEX(tForn[CNPJ],MATCH(Tabela4[[#This Row],[Fornecedor]],tForn[Fornecedor],0))</f>
        <v>12.345.678/0001-11</v>
      </c>
      <c r="E33">
        <f>INDEX(tForn[Prazo Dias],MATCH(Tabela4[[#This Row],[Fornecedor]],tForn[Fornecedor],0))</f>
        <v>12</v>
      </c>
      <c r="F33">
        <f>COUNTIFS(tPed[Fornecedor],Tabela4[[#This Row],[Fornecedor]])</f>
        <v>27</v>
      </c>
      <c r="G33" s="12">
        <f>SUMIFS(tPed[Valor Total],tPed[Fornecedor],$A33)</f>
        <v>1170050</v>
      </c>
    </row>
    <row r="34" spans="1:11" x14ac:dyDescent="0.2">
      <c r="A34" t="s">
        <v>43</v>
      </c>
      <c r="B34">
        <f>INDEX(tForn[ID],MATCH(Tabela4[[#This Row],[Fornecedor]],tForn[Fornecedor],0))</f>
        <v>12</v>
      </c>
      <c r="C34" t="str">
        <f>INDEX(tForn[Cidade],MATCH(Tabela4[[#This Row],[Fornecedor]],tForn[Fornecedor],0))</f>
        <v>Rio de Janeiro</v>
      </c>
      <c r="D34" t="str">
        <f>INDEX(tForn[CNPJ],MATCH(Tabela4[[#This Row],[Fornecedor]],tForn[Fornecedor],0))</f>
        <v>23.456.789/0001-12</v>
      </c>
      <c r="E34">
        <f>INDEX(tForn[Prazo Dias],MATCH(Tabela4[[#This Row],[Fornecedor]],tForn[Fornecedor],0))</f>
        <v>8</v>
      </c>
      <c r="F34">
        <f>COUNTIFS(tPed[Fornecedor],Tabela4[[#This Row],[Fornecedor]])</f>
        <v>0</v>
      </c>
      <c r="G34" s="12">
        <f>SUMIFS(tPed[Valor Total],tPed[Fornecedor],$A34)</f>
        <v>0</v>
      </c>
    </row>
    <row r="35" spans="1:11" x14ac:dyDescent="0.2">
      <c r="A35" t="s">
        <v>46</v>
      </c>
      <c r="B35">
        <f>INDEX(tForn[ID],MATCH(Tabela4[[#This Row],[Fornecedor]],tForn[Fornecedor],0))</f>
        <v>13</v>
      </c>
      <c r="C35" t="str">
        <f>INDEX(tForn[Cidade],MATCH(Tabela4[[#This Row],[Fornecedor]],tForn[Fornecedor],0))</f>
        <v>Porto Alegre</v>
      </c>
      <c r="D35" t="str">
        <f>INDEX(tForn[CNPJ],MATCH(Tabela4[[#This Row],[Fornecedor]],tForn[Fornecedor],0))</f>
        <v>34.567.890/0001-13</v>
      </c>
      <c r="E35">
        <f>INDEX(tForn[Prazo Dias],MATCH(Tabela4[[#This Row],[Fornecedor]],tForn[Fornecedor],0))</f>
        <v>2</v>
      </c>
      <c r="F35">
        <f>COUNTIFS(tPed[Fornecedor],Tabela4[[#This Row],[Fornecedor]])</f>
        <v>0</v>
      </c>
      <c r="G35" s="12">
        <f>SUMIFS(tPed[Valor Total],tPed[Fornecedor],$A35)</f>
        <v>0</v>
      </c>
    </row>
    <row r="36" spans="1:11" x14ac:dyDescent="0.2">
      <c r="A36" t="s">
        <v>49</v>
      </c>
      <c r="B36">
        <f>INDEX(tForn[ID],MATCH(Tabela4[[#This Row],[Fornecedor]],tForn[Fornecedor],0))</f>
        <v>14</v>
      </c>
      <c r="C36" t="str">
        <f>INDEX(tForn[Cidade],MATCH(Tabela4[[#This Row],[Fornecedor]],tForn[Fornecedor],0))</f>
        <v>Porto Alegre</v>
      </c>
      <c r="D36" t="str">
        <f>INDEX(tForn[CNPJ],MATCH(Tabela4[[#This Row],[Fornecedor]],tForn[Fornecedor],0))</f>
        <v>45.678.901/0001-14</v>
      </c>
      <c r="E36">
        <f>INDEX(tForn[Prazo Dias],MATCH(Tabela4[[#This Row],[Fornecedor]],tForn[Fornecedor],0))</f>
        <v>3</v>
      </c>
      <c r="F36">
        <f>COUNTIFS(tPed[Fornecedor],Tabela4[[#This Row],[Fornecedor]])</f>
        <v>9</v>
      </c>
      <c r="G36" s="12">
        <f>SUMIFS(tPed[Valor Total],tPed[Fornecedor],$A36)</f>
        <v>4260</v>
      </c>
    </row>
    <row r="37" spans="1:11" x14ac:dyDescent="0.2">
      <c r="A37" t="s">
        <v>51</v>
      </c>
      <c r="B37">
        <f>INDEX(tForn[ID],MATCH(Tabela4[[#This Row],[Fornecedor]],tForn[Fornecedor],0))</f>
        <v>15</v>
      </c>
      <c r="C37" t="str">
        <f>INDEX(tForn[Cidade],MATCH(Tabela4[[#This Row],[Fornecedor]],tForn[Fornecedor],0))</f>
        <v>São Paulo</v>
      </c>
      <c r="D37" t="str">
        <f>INDEX(tForn[CNPJ],MATCH(Tabela4[[#This Row],[Fornecedor]],tForn[Fornecedor],0))</f>
        <v>56.789.012/0001-15</v>
      </c>
      <c r="E37">
        <f>INDEX(tForn[Prazo Dias],MATCH(Tabela4[[#This Row],[Fornecedor]],tForn[Fornecedor],0))</f>
        <v>14</v>
      </c>
      <c r="F37">
        <f>COUNTIFS(tPed[Fornecedor],Tabela4[[#This Row],[Fornecedor]])</f>
        <v>0</v>
      </c>
      <c r="G37" s="12">
        <f>SUMIFS(tPed[Valor Total],tPed[Fornecedor],$A37)</f>
        <v>0</v>
      </c>
    </row>
    <row r="39" spans="1:11" ht="15" x14ac:dyDescent="0.2">
      <c r="A39" s="23" t="s">
        <v>765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1" x14ac:dyDescent="0.2">
      <c r="A40" t="s">
        <v>3</v>
      </c>
      <c r="B40" t="s">
        <v>734</v>
      </c>
      <c r="C40" t="s">
        <v>735</v>
      </c>
      <c r="D40" t="s">
        <v>736</v>
      </c>
      <c r="E40" t="s">
        <v>737</v>
      </c>
      <c r="F40" t="s">
        <v>738</v>
      </c>
      <c r="G40" s="12" t="s">
        <v>739</v>
      </c>
      <c r="H40" t="s">
        <v>740</v>
      </c>
      <c r="I40" t="s">
        <v>741</v>
      </c>
    </row>
    <row r="41" spans="1:11" x14ac:dyDescent="0.2">
      <c r="A41" t="s">
        <v>10</v>
      </c>
      <c r="B41">
        <f>COUNTIFS(tPed[Categoria],A41)</f>
        <v>71</v>
      </c>
      <c r="C41">
        <f>COUNTIFS(tPed[Categoria],Tabela5[[#This Row],[Categoria]],tPed[Status],"Entregue")</f>
        <v>71</v>
      </c>
      <c r="D41">
        <f>COUNTIFS(tPed[Categoria],Tabela5[[#This Row],[Categoria]],tPed[Dias Atraso],"&gt;"&amp;0)</f>
        <v>12</v>
      </c>
      <c r="E41" s="13">
        <f>IFERROR(Tabela5[[#This Row],[Atrasados ]]/Tabela5[[#This Row],[Total]],0)</f>
        <v>0.16901408450704225</v>
      </c>
      <c r="F41">
        <f>COUNTIFS(tPed[Categoria],Tabela5[[#This Row],[Categoria]],tPed[Dias Atraso],"&gt;"&amp;0,tPed[Dias Atraso],"&lt;"&amp;5)</f>
        <v>9</v>
      </c>
      <c r="G41" s="14">
        <f>COUNTIFS(tPed[Categoria],Tabela5[[#This Row],[Categoria]],tPed[Dias Atraso],"&gt;"&amp;5,tPed[Dias Atraso],"&lt;"&amp;10)</f>
        <v>2</v>
      </c>
      <c r="H41">
        <f>COUNTIFS(tPed[Categoria],Tabela5[[#This Row],[Categoria]],tPed[Dias Atraso],"&gt;"&amp;10)</f>
        <v>0</v>
      </c>
      <c r="I41" t="str">
        <f>IF(Tabela5[[#This Row],[% Atraso]]&lt;=0.2,"Sim","Não")</f>
        <v>Sim</v>
      </c>
    </row>
    <row r="42" spans="1:11" x14ac:dyDescent="0.2">
      <c r="A42" t="s">
        <v>14</v>
      </c>
      <c r="B42">
        <f>COUNTIFS(tPed[Categoria],A42)</f>
        <v>77</v>
      </c>
      <c r="C42">
        <f>COUNTIFS(tPed[Categoria],Tabela5[[#This Row],[Categoria]],tPed[Status],"Entregue")</f>
        <v>77</v>
      </c>
      <c r="D42">
        <f>COUNTIFS(tPed[Categoria],Tabela5[[#This Row],[Categoria]],tPed[Dias Atraso],"&gt;"&amp;0)</f>
        <v>12</v>
      </c>
      <c r="E42" s="13">
        <f>IFERROR(Tabela5[[#This Row],[Atrasados ]]/Tabela5[[#This Row],[Total]],0)</f>
        <v>0.15584415584415584</v>
      </c>
      <c r="F42">
        <f>COUNTIFS(tPed[Categoria],Tabela5[[#This Row],[Categoria]],tPed[Dias Atraso],"&gt;"&amp;0,tPed[Dias Atraso],"&lt;"&amp;5)</f>
        <v>7</v>
      </c>
      <c r="G42" s="14">
        <f>COUNTIFS(tPed[Categoria],Tabela5[[#This Row],[Categoria]],tPed[Dias Atraso],"&gt;"&amp;5,tPed[Dias Atraso],"&lt;"&amp;10)</f>
        <v>4</v>
      </c>
      <c r="H42">
        <f>COUNTIFS(tPed[Categoria],Tabela5[[#This Row],[Categoria]],tPed[Dias Atraso],"&gt;"&amp;10)</f>
        <v>0</v>
      </c>
      <c r="I42" t="str">
        <f>IF(Tabela5[[#This Row],[% Atraso]]&lt;=0.2,"Sim","Não")</f>
        <v>Sim</v>
      </c>
    </row>
    <row r="43" spans="1:11" x14ac:dyDescent="0.2">
      <c r="A43" t="s">
        <v>20</v>
      </c>
      <c r="B43">
        <f>COUNTIFS(tPed[Categoria],A43)</f>
        <v>45</v>
      </c>
      <c r="C43">
        <f>COUNTIFS(tPed[Categoria],Tabela5[[#This Row],[Categoria]],tPed[Status],"Entregue")</f>
        <v>45</v>
      </c>
      <c r="D43">
        <f>COUNTIFS(tPed[Categoria],Tabela5[[#This Row],[Categoria]],tPed[Dias Atraso],"&gt;"&amp;0)</f>
        <v>17</v>
      </c>
      <c r="E43" s="13">
        <f>IFERROR(Tabela5[[#This Row],[Atrasados ]]/Tabela5[[#This Row],[Total]],0)</f>
        <v>0.37777777777777777</v>
      </c>
      <c r="F43">
        <f>COUNTIFS(tPed[Categoria],Tabela5[[#This Row],[Categoria]],tPed[Dias Atraso],"&gt;"&amp;0,tPed[Dias Atraso],"&lt;"&amp;5)</f>
        <v>8</v>
      </c>
      <c r="G43" s="14">
        <f>COUNTIFS(tPed[Categoria],Tabela5[[#This Row],[Categoria]],tPed[Dias Atraso],"&gt;"&amp;5,tPed[Dias Atraso],"&lt;"&amp;10)</f>
        <v>6</v>
      </c>
      <c r="H43">
        <f>COUNTIFS(tPed[Categoria],Tabela5[[#This Row],[Categoria]],tPed[Dias Atraso],"&gt;"&amp;10)</f>
        <v>3</v>
      </c>
      <c r="I43" t="str">
        <f>IF(Tabela5[[#This Row],[% Atraso]]&lt;=0.2,"Sim","Não")</f>
        <v>Não</v>
      </c>
    </row>
    <row r="44" spans="1:11" x14ac:dyDescent="0.2">
      <c r="A44" t="s">
        <v>26</v>
      </c>
      <c r="B44">
        <f>COUNTIFS(tPed[Categoria],A44)</f>
        <v>42</v>
      </c>
      <c r="C44">
        <f>COUNTIFS(tPed[Categoria],Tabela5[[#This Row],[Categoria]],tPed[Status],"Entregue")</f>
        <v>42</v>
      </c>
      <c r="D44">
        <f>COUNTIFS(tPed[Categoria],Tabela5[[#This Row],[Categoria]],tPed[Dias Atraso],"&gt;"&amp;0)</f>
        <v>12</v>
      </c>
      <c r="E44" s="13">
        <f>IFERROR(Tabela5[[#This Row],[Atrasados ]]/Tabela5[[#This Row],[Total]],0)</f>
        <v>0.2857142857142857</v>
      </c>
      <c r="F44">
        <f>COUNTIFS(tPed[Categoria],Tabela5[[#This Row],[Categoria]],tPed[Dias Atraso],"&gt;"&amp;0,tPed[Dias Atraso],"&lt;"&amp;5)</f>
        <v>8</v>
      </c>
      <c r="G44" s="14">
        <f>COUNTIFS(tPed[Categoria],Tabela5[[#This Row],[Categoria]],tPed[Dias Atraso],"&gt;"&amp;5,tPed[Dias Atraso],"&lt;"&amp;10)</f>
        <v>4</v>
      </c>
      <c r="H44">
        <f>COUNTIFS(tPed[Categoria],Tabela5[[#This Row],[Categoria]],tPed[Dias Atraso],"&gt;"&amp;10)</f>
        <v>0</v>
      </c>
      <c r="I44" t="str">
        <f>IF(Tabela5[[#This Row],[% Atraso]]&lt;=0.2,"Sim","Não")</f>
        <v>Não</v>
      </c>
    </row>
    <row r="45" spans="1:11" x14ac:dyDescent="0.2">
      <c r="A45" t="s">
        <v>33</v>
      </c>
      <c r="B45">
        <f>COUNTIFS(tPed[Categoria],A45)</f>
        <v>38</v>
      </c>
      <c r="C45">
        <f>COUNTIFS(tPed[Categoria],Tabela5[[#This Row],[Categoria]],tPed[Status],"Entregue")</f>
        <v>38</v>
      </c>
      <c r="D45">
        <f>COUNTIFS(tPed[Categoria],Tabela5[[#This Row],[Categoria]],tPed[Dias Atraso],"&gt;"&amp;0)</f>
        <v>13</v>
      </c>
      <c r="E45" s="13">
        <f>IFERROR(Tabela5[[#This Row],[Atrasados ]]/Tabela5[[#This Row],[Total]],0)</f>
        <v>0.34210526315789475</v>
      </c>
      <c r="F45">
        <f>COUNTIFS(tPed[Categoria],Tabela5[[#This Row],[Categoria]],tPed[Dias Atraso],"&gt;"&amp;0,tPed[Dias Atraso],"&lt;"&amp;5)</f>
        <v>7</v>
      </c>
      <c r="G45" s="14">
        <f>COUNTIFS(tPed[Categoria],Tabela5[[#This Row],[Categoria]],tPed[Dias Atraso],"&gt;"&amp;5,tPed[Dias Atraso],"&lt;"&amp;10)</f>
        <v>5</v>
      </c>
      <c r="H45">
        <f>COUNTIFS(tPed[Categoria],Tabela5[[#This Row],[Categoria]],tPed[Dias Atraso],"&gt;"&amp;10)</f>
        <v>0</v>
      </c>
      <c r="I45" t="str">
        <f>IF(Tabela5[[#This Row],[% Atraso]]&lt;=0.2,"Sim","Não")</f>
        <v>Não</v>
      </c>
    </row>
    <row r="46" spans="1:11" x14ac:dyDescent="0.2">
      <c r="A46" t="s">
        <v>36</v>
      </c>
      <c r="B46">
        <f>COUNTIFS(tPed[Categoria],A46)</f>
        <v>0</v>
      </c>
      <c r="C46">
        <f>COUNTIFS(tPed[Categoria],Tabela5[[#This Row],[Categoria]],tPed[Status],"Entregue")</f>
        <v>0</v>
      </c>
      <c r="D46">
        <f>COUNTIFS(tPed[Categoria],Tabela5[[#This Row],[Categoria]],tPed[Dias Atraso],"&gt;"&amp;0)</f>
        <v>0</v>
      </c>
      <c r="E46" s="13">
        <f>IFERROR(Tabela5[[#This Row],[Atrasados ]]/Tabela5[[#This Row],[Total]],0)</f>
        <v>0</v>
      </c>
      <c r="F46">
        <f>COUNTIFS(tPed[Categoria],Tabela5[[#This Row],[Categoria]],tPed[Dias Atraso],"&gt;"&amp;0,tPed[Dias Atraso],"&lt;"&amp;5)</f>
        <v>0</v>
      </c>
      <c r="G46" s="14">
        <f>COUNTIFS(tPed[Categoria],Tabela5[[#This Row],[Categoria]],tPed[Dias Atraso],"&gt;"&amp;5,tPed[Dias Atraso],"&lt;"&amp;10)</f>
        <v>0</v>
      </c>
      <c r="H46">
        <f>COUNTIFS(tPed[Categoria],Tabela5[[#This Row],[Categoria]],tPed[Dias Atraso],"&gt;"&amp;10)</f>
        <v>0</v>
      </c>
      <c r="I46" t="str">
        <f>IF(Tabela5[[#This Row],[% Atraso]]&lt;=0.2,"Sim","Não")</f>
        <v>Sim</v>
      </c>
    </row>
    <row r="47" spans="1:11" x14ac:dyDescent="0.2">
      <c r="A47" t="s">
        <v>41</v>
      </c>
      <c r="B47">
        <f>COUNTIFS(tPed[Categoria],A47)</f>
        <v>27</v>
      </c>
      <c r="C47">
        <f>COUNTIFS(tPed[Categoria],Tabela5[[#This Row],[Categoria]],tPed[Status],"Entregue")</f>
        <v>27</v>
      </c>
      <c r="D47">
        <f>COUNTIFS(tPed[Categoria],Tabela5[[#This Row],[Categoria]],tPed[Dias Atraso],"&gt;"&amp;0)</f>
        <v>3</v>
      </c>
      <c r="E47" s="13">
        <f>IFERROR(Tabela5[[#This Row],[Atrasados ]]/Tabela5[[#This Row],[Total]],0)</f>
        <v>0.1111111111111111</v>
      </c>
      <c r="F47">
        <f>COUNTIFS(tPed[Categoria],Tabela5[[#This Row],[Categoria]],tPed[Dias Atraso],"&gt;"&amp;0,tPed[Dias Atraso],"&lt;"&amp;5)</f>
        <v>2</v>
      </c>
      <c r="G47" s="14">
        <f>COUNTIFS(tPed[Categoria],Tabela5[[#This Row],[Categoria]],tPed[Dias Atraso],"&gt;"&amp;5,tPed[Dias Atraso],"&lt;"&amp;10)</f>
        <v>0</v>
      </c>
      <c r="H47">
        <f>COUNTIFS(tPed[Categoria],Tabela5[[#This Row],[Categoria]],tPed[Dias Atraso],"&gt;"&amp;10)</f>
        <v>0</v>
      </c>
      <c r="I47" t="str">
        <f>IF(Tabela5[[#This Row],[% Atraso]]&lt;=0.2,"Sim","Não")</f>
        <v>Sim</v>
      </c>
    </row>
    <row r="48" spans="1:11" x14ac:dyDescent="0.2">
      <c r="A48" t="s">
        <v>45</v>
      </c>
      <c r="B48">
        <f>COUNTIFS(tPed[Categoria],A48)</f>
        <v>0</v>
      </c>
      <c r="C48">
        <f>COUNTIFS(tPed[Categoria],Tabela5[[#This Row],[Categoria]],tPed[Status],"Entregue")</f>
        <v>0</v>
      </c>
      <c r="D48">
        <f>COUNTIFS(tPed[Categoria],Tabela5[[#This Row],[Categoria]],tPed[Dias Atraso],"&gt;"&amp;0)</f>
        <v>0</v>
      </c>
      <c r="E48" s="13">
        <f>IFERROR(Tabela5[[#This Row],[Atrasados ]]/Tabela5[[#This Row],[Total]],0)</f>
        <v>0</v>
      </c>
      <c r="F48">
        <f>COUNTIFS(tPed[Categoria],Tabela5[[#This Row],[Categoria]],tPed[Dias Atraso],"&gt;"&amp;0,tPed[Dias Atraso],"&lt;"&amp;5)</f>
        <v>0</v>
      </c>
      <c r="G48" s="14">
        <f>COUNTIFS(tPed[Categoria],Tabela5[[#This Row],[Categoria]],tPed[Dias Atraso],"&gt;"&amp;5,tPed[Dias Atraso],"&lt;"&amp;10)</f>
        <v>0</v>
      </c>
      <c r="H48">
        <f>COUNTIFS(tPed[Categoria],Tabela5[[#This Row],[Categoria]],tPed[Dias Atraso],"&gt;"&amp;10)</f>
        <v>0</v>
      </c>
      <c r="I48" t="str">
        <f>IF(Tabela5[[#This Row],[% Atraso]]&lt;=0.2,"Sim","Não")</f>
        <v>Sim</v>
      </c>
    </row>
    <row r="49" spans="1:9" x14ac:dyDescent="0.2">
      <c r="A49" t="s">
        <v>48</v>
      </c>
      <c r="B49">
        <f>COUNTIFS(tPed[Categoria],A49)</f>
        <v>0</v>
      </c>
      <c r="C49">
        <f>COUNTIFS(tPed[Categoria],Tabela5[[#This Row],[Categoria]],tPed[Status],"Entregue")</f>
        <v>0</v>
      </c>
      <c r="D49">
        <f>COUNTIFS(tPed[Categoria],Tabela5[[#This Row],[Categoria]],tPed[Dias Atraso],"&gt;"&amp;0)</f>
        <v>0</v>
      </c>
      <c r="E49" s="13">
        <f>IFERROR(Tabela5[[#This Row],[Atrasados ]]/Tabela5[[#This Row],[Total]],0)</f>
        <v>0</v>
      </c>
      <c r="F49">
        <f>COUNTIFS(tPed[Categoria],Tabela5[[#This Row],[Categoria]],tPed[Dias Atraso],"&gt;"&amp;0,tPed[Dias Atraso],"&lt;"&amp;5)</f>
        <v>0</v>
      </c>
      <c r="G49" s="14">
        <f>COUNTIFS(tPed[Categoria],Tabela5[[#This Row],[Categoria]],tPed[Dias Atraso],"&gt;"&amp;5,tPed[Dias Atraso],"&lt;"&amp;10)</f>
        <v>0</v>
      </c>
      <c r="H49">
        <f>COUNTIFS(tPed[Categoria],Tabela5[[#This Row],[Categoria]],tPed[Dias Atraso],"&gt;"&amp;10)</f>
        <v>0</v>
      </c>
      <c r="I49" t="str">
        <f>IF(Tabela5[[#This Row],[% Atraso]]&lt;=0.2,"Sim","Não")</f>
        <v>Sim</v>
      </c>
    </row>
  </sheetData>
  <mergeCells count="4">
    <mergeCell ref="A39:K39"/>
    <mergeCell ref="A1:K1"/>
    <mergeCell ref="A2:K2"/>
    <mergeCell ref="A21:K21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"/>
  <sheetViews>
    <sheetView showGridLines="0" topLeftCell="A35" workbookViewId="0">
      <selection activeCell="A43" sqref="A43:B56"/>
    </sheetView>
  </sheetViews>
  <sheetFormatPr defaultRowHeight="14.25" x14ac:dyDescent="0.2"/>
  <cols>
    <col min="1" max="1" width="24.875" bestFit="1" customWidth="1"/>
    <col min="2" max="2" width="20" bestFit="1" customWidth="1"/>
    <col min="3" max="4" width="13.125" bestFit="1" customWidth="1"/>
    <col min="5" max="6" width="14.75" bestFit="1" customWidth="1"/>
    <col min="7" max="7" width="0.125" customWidth="1"/>
    <col min="8" max="8" width="15.75" hidden="1" customWidth="1"/>
    <col min="9" max="9" width="19.875" hidden="1" customWidth="1"/>
    <col min="10" max="10" width="10.25" hidden="1" customWidth="1"/>
    <col min="11" max="11" width="15.375" hidden="1" customWidth="1"/>
    <col min="12" max="12" width="9.875" hidden="1" customWidth="1"/>
    <col min="13" max="13" width="11.625" customWidth="1"/>
    <col min="14" max="14" width="10.625" customWidth="1"/>
    <col min="15" max="15" width="11.625" customWidth="1"/>
    <col min="16" max="16" width="25.25" customWidth="1"/>
    <col min="17" max="17" width="18.25" customWidth="1"/>
    <col min="18" max="20" width="11.625" customWidth="1"/>
    <col min="21" max="21" width="21.5" customWidth="1"/>
    <col min="22" max="25" width="12.625" customWidth="1"/>
    <col min="26" max="26" width="15.25" customWidth="1"/>
    <col min="27" max="30" width="12.625" customWidth="1"/>
    <col min="31" max="31" width="15.5" customWidth="1"/>
    <col min="32" max="32" width="14.375" customWidth="1"/>
  </cols>
  <sheetData>
    <row r="1" spans="1:12" ht="30" customHeight="1" x14ac:dyDescent="0.2">
      <c r="A1" s="25" t="s">
        <v>757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" x14ac:dyDescent="0.2">
      <c r="A2" s="27" t="s">
        <v>758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">
      <c r="A3" s="15" t="s">
        <v>745</v>
      </c>
      <c r="B3" s="15" t="s">
        <v>744</v>
      </c>
    </row>
    <row r="4" spans="1:12" x14ac:dyDescent="0.2">
      <c r="A4" s="15" t="s">
        <v>742</v>
      </c>
      <c r="B4" t="s">
        <v>91</v>
      </c>
      <c r="C4" t="s">
        <v>84</v>
      </c>
      <c r="D4" t="s">
        <v>139</v>
      </c>
      <c r="E4" t="s">
        <v>77</v>
      </c>
      <c r="F4" t="s">
        <v>743</v>
      </c>
    </row>
    <row r="5" spans="1:12" x14ac:dyDescent="0.2">
      <c r="A5" s="16" t="s">
        <v>41</v>
      </c>
      <c r="B5" s="17">
        <v>29750</v>
      </c>
      <c r="C5" s="17">
        <v>318500</v>
      </c>
      <c r="D5" s="17">
        <v>269500</v>
      </c>
      <c r="E5" s="17">
        <v>552300</v>
      </c>
      <c r="F5" s="17">
        <v>1170050</v>
      </c>
    </row>
    <row r="6" spans="1:12" x14ac:dyDescent="0.2">
      <c r="A6" s="16" t="s">
        <v>20</v>
      </c>
      <c r="B6" s="17">
        <v>6032</v>
      </c>
      <c r="C6" s="17">
        <v>10284</v>
      </c>
      <c r="D6" s="17">
        <v>11178</v>
      </c>
      <c r="E6" s="17">
        <v>7274</v>
      </c>
      <c r="F6" s="17">
        <v>34768</v>
      </c>
    </row>
    <row r="7" spans="1:12" x14ac:dyDescent="0.2">
      <c r="A7" s="16" t="s">
        <v>14</v>
      </c>
      <c r="B7" s="17">
        <v>12236</v>
      </c>
      <c r="C7" s="17">
        <v>14435</v>
      </c>
      <c r="D7" s="17">
        <v>8607</v>
      </c>
      <c r="E7" s="17">
        <v>16397</v>
      </c>
      <c r="F7" s="17">
        <v>51675</v>
      </c>
    </row>
    <row r="8" spans="1:12" x14ac:dyDescent="0.2">
      <c r="A8" s="16" t="s">
        <v>33</v>
      </c>
      <c r="B8" s="17">
        <v>10515</v>
      </c>
      <c r="C8" s="17">
        <v>17640</v>
      </c>
      <c r="D8" s="17">
        <v>38125</v>
      </c>
      <c r="E8" s="17">
        <v>20095</v>
      </c>
      <c r="F8" s="17">
        <v>86375</v>
      </c>
    </row>
    <row r="9" spans="1:12" x14ac:dyDescent="0.2">
      <c r="A9" s="16" t="s">
        <v>26</v>
      </c>
      <c r="B9" s="17">
        <v>115550</v>
      </c>
      <c r="C9" s="17">
        <v>200810</v>
      </c>
      <c r="D9" s="17">
        <v>385980</v>
      </c>
      <c r="E9" s="17">
        <v>191820</v>
      </c>
      <c r="F9" s="17">
        <v>894160</v>
      </c>
    </row>
    <row r="10" spans="1:12" x14ac:dyDescent="0.2">
      <c r="A10" s="16" t="s">
        <v>10</v>
      </c>
      <c r="B10" s="17">
        <v>385430</v>
      </c>
      <c r="C10" s="17">
        <v>321165</v>
      </c>
      <c r="D10" s="17">
        <v>278265</v>
      </c>
      <c r="E10" s="17">
        <v>244800</v>
      </c>
      <c r="F10" s="17">
        <v>1229660</v>
      </c>
      <c r="G10" s="17"/>
      <c r="H10" s="17"/>
    </row>
    <row r="11" spans="1:12" x14ac:dyDescent="0.2">
      <c r="A11" s="16" t="s">
        <v>743</v>
      </c>
      <c r="B11" s="17">
        <v>559513</v>
      </c>
      <c r="C11" s="17">
        <v>882834</v>
      </c>
      <c r="D11" s="17">
        <v>991655</v>
      </c>
      <c r="E11" s="17">
        <v>1032686</v>
      </c>
      <c r="F11" s="17">
        <v>3466688</v>
      </c>
      <c r="G11" s="17"/>
      <c r="H11" s="17"/>
    </row>
    <row r="12" spans="1:12" x14ac:dyDescent="0.2">
      <c r="A12" s="16"/>
      <c r="B12" s="17"/>
      <c r="C12" s="17"/>
      <c r="D12" s="17"/>
      <c r="E12" s="17"/>
      <c r="F12" s="17"/>
      <c r="G12" s="17"/>
      <c r="H12" s="17"/>
    </row>
    <row r="13" spans="1:12" x14ac:dyDescent="0.2">
      <c r="C13" s="17"/>
      <c r="D13" s="17"/>
      <c r="E13" s="17"/>
      <c r="F13" s="17"/>
      <c r="G13" s="17"/>
      <c r="H13" s="17"/>
    </row>
    <row r="14" spans="1:12" ht="15" x14ac:dyDescent="0.2">
      <c r="A14" s="29" t="s">
        <v>759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x14ac:dyDescent="0.2">
      <c r="A15" s="15" t="s">
        <v>752</v>
      </c>
      <c r="B15" s="15" t="s">
        <v>744</v>
      </c>
    </row>
    <row r="16" spans="1:12" x14ac:dyDescent="0.2">
      <c r="A16" s="15" t="s">
        <v>742</v>
      </c>
      <c r="B16" t="s">
        <v>91</v>
      </c>
      <c r="C16" t="s">
        <v>84</v>
      </c>
      <c r="D16" t="s">
        <v>139</v>
      </c>
      <c r="E16" t="s">
        <v>77</v>
      </c>
      <c r="F16" t="s">
        <v>743</v>
      </c>
    </row>
    <row r="17" spans="1:12" x14ac:dyDescent="0.2">
      <c r="A17" s="16" t="s">
        <v>39</v>
      </c>
      <c r="B17" s="44">
        <v>4</v>
      </c>
      <c r="C17" s="44">
        <v>7</v>
      </c>
      <c r="D17" s="44">
        <v>9</v>
      </c>
      <c r="E17" s="44">
        <v>7</v>
      </c>
      <c r="F17" s="44">
        <v>27</v>
      </c>
    </row>
    <row r="18" spans="1:12" x14ac:dyDescent="0.2">
      <c r="A18" s="16" t="s">
        <v>18</v>
      </c>
      <c r="B18" s="44">
        <v>11</v>
      </c>
      <c r="C18" s="44">
        <v>10</v>
      </c>
      <c r="D18" s="44">
        <v>8</v>
      </c>
      <c r="E18" s="44">
        <v>7</v>
      </c>
      <c r="F18" s="44">
        <v>36</v>
      </c>
    </row>
    <row r="19" spans="1:12" x14ac:dyDescent="0.2">
      <c r="A19" s="16" t="s">
        <v>31</v>
      </c>
      <c r="B19" s="44">
        <v>7</v>
      </c>
      <c r="C19" s="44">
        <v>5</v>
      </c>
      <c r="D19" s="44">
        <v>15</v>
      </c>
      <c r="E19" s="44">
        <v>11</v>
      </c>
      <c r="F19" s="44">
        <v>38</v>
      </c>
    </row>
    <row r="20" spans="1:12" x14ac:dyDescent="0.2">
      <c r="A20" s="16" t="s">
        <v>22</v>
      </c>
      <c r="B20" s="44">
        <v>1</v>
      </c>
      <c r="C20" s="44">
        <v>3</v>
      </c>
      <c r="D20" s="44">
        <v>1</v>
      </c>
      <c r="E20" s="44">
        <v>4</v>
      </c>
      <c r="F20" s="44">
        <v>9</v>
      </c>
    </row>
    <row r="21" spans="1:12" x14ac:dyDescent="0.2">
      <c r="A21" s="16" t="s">
        <v>49</v>
      </c>
      <c r="B21" s="44">
        <v>2</v>
      </c>
      <c r="C21" s="44">
        <v>3</v>
      </c>
      <c r="D21" s="44"/>
      <c r="E21" s="44">
        <v>4</v>
      </c>
      <c r="F21" s="44">
        <v>9</v>
      </c>
    </row>
    <row r="22" spans="1:12" x14ac:dyDescent="0.2">
      <c r="A22" s="16" t="s">
        <v>24</v>
      </c>
      <c r="B22" s="44">
        <v>9</v>
      </c>
      <c r="C22" s="44">
        <v>11</v>
      </c>
      <c r="D22" s="44">
        <v>13</v>
      </c>
      <c r="E22" s="44">
        <v>9</v>
      </c>
      <c r="F22" s="44">
        <v>42</v>
      </c>
    </row>
    <row r="23" spans="1:12" x14ac:dyDescent="0.2">
      <c r="A23" s="16" t="s">
        <v>37</v>
      </c>
      <c r="B23" s="44">
        <v>5</v>
      </c>
      <c r="C23" s="44">
        <v>7</v>
      </c>
      <c r="D23" s="44">
        <v>9</v>
      </c>
      <c r="E23" s="44">
        <v>8</v>
      </c>
      <c r="F23" s="44">
        <v>29</v>
      </c>
    </row>
    <row r="24" spans="1:12" x14ac:dyDescent="0.2">
      <c r="A24" s="16" t="s">
        <v>12</v>
      </c>
      <c r="B24" s="44">
        <v>16</v>
      </c>
      <c r="C24" s="44">
        <v>19</v>
      </c>
      <c r="D24" s="44">
        <v>11</v>
      </c>
      <c r="E24" s="44">
        <v>15</v>
      </c>
      <c r="F24" s="44">
        <v>61</v>
      </c>
    </row>
    <row r="25" spans="1:12" x14ac:dyDescent="0.2">
      <c r="A25" s="16" t="s">
        <v>16</v>
      </c>
      <c r="B25" s="44">
        <v>2</v>
      </c>
      <c r="C25" s="44">
        <v>5</v>
      </c>
      <c r="D25" s="44">
        <v>1</v>
      </c>
      <c r="E25" s="44">
        <v>8</v>
      </c>
      <c r="F25" s="44">
        <v>16</v>
      </c>
    </row>
    <row r="26" spans="1:12" x14ac:dyDescent="0.2">
      <c r="A26" s="16" t="s">
        <v>8</v>
      </c>
      <c r="B26" s="44">
        <v>10</v>
      </c>
      <c r="C26" s="44">
        <v>9</v>
      </c>
      <c r="D26" s="44">
        <v>4</v>
      </c>
      <c r="E26" s="44">
        <v>10</v>
      </c>
      <c r="F26" s="44">
        <v>33</v>
      </c>
    </row>
    <row r="27" spans="1:12" x14ac:dyDescent="0.2">
      <c r="A27" s="16" t="s">
        <v>743</v>
      </c>
      <c r="B27" s="44">
        <v>67</v>
      </c>
      <c r="C27" s="44">
        <v>79</v>
      </c>
      <c r="D27" s="44">
        <v>71</v>
      </c>
      <c r="E27" s="44">
        <v>83</v>
      </c>
      <c r="F27" s="44">
        <v>300</v>
      </c>
    </row>
    <row r="28" spans="1:12" x14ac:dyDescent="0.2">
      <c r="A28" s="16"/>
    </row>
    <row r="30" spans="1:12" ht="15" x14ac:dyDescent="0.2">
      <c r="A30" s="30" t="s">
        <v>760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x14ac:dyDescent="0.2">
      <c r="A31" s="15" t="s">
        <v>753</v>
      </c>
      <c r="B31" s="15" t="s">
        <v>744</v>
      </c>
    </row>
    <row r="32" spans="1:12" x14ac:dyDescent="0.2">
      <c r="A32" s="15" t="s">
        <v>742</v>
      </c>
      <c r="B32" t="s">
        <v>91</v>
      </c>
      <c r="C32" t="s">
        <v>84</v>
      </c>
      <c r="D32" t="s">
        <v>139</v>
      </c>
      <c r="E32" t="s">
        <v>77</v>
      </c>
      <c r="F32" t="s">
        <v>743</v>
      </c>
    </row>
    <row r="33" spans="1:12" x14ac:dyDescent="0.2">
      <c r="A33" s="16" t="s">
        <v>41</v>
      </c>
      <c r="B33" s="22">
        <v>12</v>
      </c>
      <c r="C33" s="22">
        <v>12.714285714285714</v>
      </c>
      <c r="D33" s="22">
        <v>12.333333333333334</v>
      </c>
      <c r="E33" s="22">
        <v>12.428571428571429</v>
      </c>
      <c r="F33" s="22">
        <v>12.407407407407407</v>
      </c>
    </row>
    <row r="34" spans="1:12" x14ac:dyDescent="0.2">
      <c r="A34" s="16" t="s">
        <v>20</v>
      </c>
      <c r="B34" s="22">
        <v>4.1538461538461542</v>
      </c>
      <c r="C34" s="22">
        <v>4.8461538461538458</v>
      </c>
      <c r="D34" s="22">
        <v>4.5</v>
      </c>
      <c r="E34" s="22">
        <v>8</v>
      </c>
      <c r="F34" s="22">
        <v>5.3555555555555552</v>
      </c>
    </row>
    <row r="35" spans="1:12" x14ac:dyDescent="0.2">
      <c r="A35" s="16" t="s">
        <v>14</v>
      </c>
      <c r="B35" s="22">
        <v>5.6111111111111107</v>
      </c>
      <c r="C35" s="22">
        <v>5.458333333333333</v>
      </c>
      <c r="D35" s="22">
        <v>5.583333333333333</v>
      </c>
      <c r="E35" s="22">
        <v>5.8260869565217392</v>
      </c>
      <c r="F35" s="22">
        <v>5.6233766233766236</v>
      </c>
    </row>
    <row r="36" spans="1:12" x14ac:dyDescent="0.2">
      <c r="A36" s="16" t="s">
        <v>33</v>
      </c>
      <c r="B36" s="22">
        <v>9.8571428571428577</v>
      </c>
      <c r="C36" s="22">
        <v>7.2</v>
      </c>
      <c r="D36" s="22">
        <v>8</v>
      </c>
      <c r="E36" s="22">
        <v>8.2727272727272734</v>
      </c>
      <c r="F36" s="22">
        <v>8.3157894736842106</v>
      </c>
    </row>
    <row r="37" spans="1:12" x14ac:dyDescent="0.2">
      <c r="A37" s="16" t="s">
        <v>26</v>
      </c>
      <c r="B37" s="22">
        <v>15.777777777777779</v>
      </c>
      <c r="C37" s="22">
        <v>16.09090909090909</v>
      </c>
      <c r="D37" s="22">
        <v>15.923076923076923</v>
      </c>
      <c r="E37" s="22">
        <v>16.111111111111111</v>
      </c>
      <c r="F37" s="22">
        <v>15.976190476190476</v>
      </c>
    </row>
    <row r="38" spans="1:12" x14ac:dyDescent="0.2">
      <c r="A38" s="16" t="s">
        <v>10</v>
      </c>
      <c r="B38" s="22">
        <v>9.25</v>
      </c>
      <c r="C38" s="22">
        <v>9.0526315789473681</v>
      </c>
      <c r="D38" s="22">
        <v>9.3571428571428577</v>
      </c>
      <c r="E38" s="22">
        <v>8.954545454545455</v>
      </c>
      <c r="F38" s="22">
        <v>9.126760563380282</v>
      </c>
      <c r="G38" s="22"/>
      <c r="H38" s="22"/>
    </row>
    <row r="39" spans="1:12" x14ac:dyDescent="0.2">
      <c r="A39" s="16" t="s">
        <v>743</v>
      </c>
      <c r="B39" s="22">
        <v>8.3880597014925371</v>
      </c>
      <c r="C39" s="22">
        <v>8.4556962025316462</v>
      </c>
      <c r="D39" s="22">
        <v>9.464788732394366</v>
      </c>
      <c r="E39" s="22">
        <v>8.9397590361445776</v>
      </c>
      <c r="F39" s="22">
        <v>8.8133333333333326</v>
      </c>
      <c r="G39" s="22"/>
      <c r="H39" s="22"/>
    </row>
    <row r="40" spans="1:12" x14ac:dyDescent="0.2">
      <c r="A40" s="16"/>
      <c r="B40" s="22"/>
      <c r="C40" s="22"/>
      <c r="D40" s="22"/>
      <c r="E40" s="22"/>
      <c r="F40" s="22"/>
      <c r="G40" s="22"/>
      <c r="H40" s="22"/>
    </row>
    <row r="41" spans="1:12" x14ac:dyDescent="0.2">
      <c r="A41" s="16"/>
      <c r="B41" s="22"/>
      <c r="C41" s="22"/>
      <c r="D41" s="22"/>
      <c r="E41" s="22"/>
      <c r="F41" s="22"/>
      <c r="G41" s="22"/>
      <c r="H41" s="22"/>
    </row>
    <row r="42" spans="1:12" ht="15" x14ac:dyDescent="0.2">
      <c r="A42" s="28" t="s">
        <v>761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1:12" x14ac:dyDescent="0.2">
      <c r="A43" s="15" t="s">
        <v>742</v>
      </c>
      <c r="B43" t="s">
        <v>745</v>
      </c>
    </row>
    <row r="44" spans="1:12" x14ac:dyDescent="0.2">
      <c r="A44" s="16" t="s">
        <v>101</v>
      </c>
      <c r="B44" s="17">
        <v>50939</v>
      </c>
    </row>
    <row r="45" spans="1:12" x14ac:dyDescent="0.2">
      <c r="A45" s="16" t="s">
        <v>90</v>
      </c>
      <c r="B45" s="17">
        <v>203639</v>
      </c>
    </row>
    <row r="46" spans="1:12" x14ac:dyDescent="0.2">
      <c r="A46" s="16" t="s">
        <v>128</v>
      </c>
      <c r="B46" s="17">
        <v>304935</v>
      </c>
    </row>
    <row r="47" spans="1:12" x14ac:dyDescent="0.2">
      <c r="A47" s="16" t="s">
        <v>115</v>
      </c>
      <c r="B47" s="17">
        <v>133999</v>
      </c>
    </row>
    <row r="48" spans="1:12" x14ac:dyDescent="0.2">
      <c r="A48" s="16" t="s">
        <v>83</v>
      </c>
      <c r="B48" s="17">
        <v>415959</v>
      </c>
    </row>
    <row r="49" spans="1:2" x14ac:dyDescent="0.2">
      <c r="A49" s="16" t="s">
        <v>134</v>
      </c>
      <c r="B49" s="17">
        <v>332876</v>
      </c>
    </row>
    <row r="50" spans="1:2" x14ac:dyDescent="0.2">
      <c r="A50" s="16" t="s">
        <v>138</v>
      </c>
      <c r="B50" s="17">
        <v>98351</v>
      </c>
    </row>
    <row r="51" spans="1:2" x14ac:dyDescent="0.2">
      <c r="A51" s="16" t="s">
        <v>147</v>
      </c>
      <c r="B51" s="17">
        <v>238195</v>
      </c>
    </row>
    <row r="52" spans="1:2" x14ac:dyDescent="0.2">
      <c r="A52" s="16" t="s">
        <v>221</v>
      </c>
      <c r="B52" s="17">
        <v>655109</v>
      </c>
    </row>
    <row r="53" spans="1:2" x14ac:dyDescent="0.2">
      <c r="A53" s="16" t="s">
        <v>161</v>
      </c>
      <c r="B53" s="17">
        <v>318632</v>
      </c>
    </row>
    <row r="54" spans="1:2" x14ac:dyDescent="0.2">
      <c r="A54" s="16" t="s">
        <v>76</v>
      </c>
      <c r="B54" s="17">
        <v>269719</v>
      </c>
    </row>
    <row r="55" spans="1:2" x14ac:dyDescent="0.2">
      <c r="A55" s="16" t="s">
        <v>123</v>
      </c>
      <c r="B55" s="17">
        <v>444335</v>
      </c>
    </row>
    <row r="56" spans="1:2" x14ac:dyDescent="0.2">
      <c r="A56" s="16" t="s">
        <v>743</v>
      </c>
      <c r="B56" s="17">
        <v>3466688</v>
      </c>
    </row>
  </sheetData>
  <mergeCells count="5">
    <mergeCell ref="A42:L42"/>
    <mergeCell ref="A1:L1"/>
    <mergeCell ref="A2:L2"/>
    <mergeCell ref="A14:L14"/>
    <mergeCell ref="A30:L30"/>
  </mergeCells>
  <conditionalFormatting pivot="1" sqref="B5:B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5:C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5:D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5:E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1:E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showGridLines="0" topLeftCell="A2" workbookViewId="0">
      <selection activeCell="A10" sqref="A10:D12"/>
    </sheetView>
  </sheetViews>
  <sheetFormatPr defaultRowHeight="14.25" x14ac:dyDescent="0.2"/>
  <cols>
    <col min="1" max="1" width="19.375" customWidth="1"/>
    <col min="2" max="2" width="14.375" customWidth="1"/>
    <col min="3" max="3" width="9" customWidth="1"/>
    <col min="4" max="4" width="9" hidden="1" customWidth="1"/>
    <col min="9" max="9" width="9" customWidth="1"/>
    <col min="10" max="10" width="11.875" hidden="1" customWidth="1"/>
    <col min="13" max="13" width="19.375" customWidth="1"/>
    <col min="14" max="14" width="14.375" customWidth="1"/>
  </cols>
  <sheetData>
    <row r="1" spans="1:14" ht="30" customHeight="1" x14ac:dyDescent="0.2">
      <c r="A1" s="25" t="s">
        <v>766</v>
      </c>
      <c r="B1" s="24"/>
      <c r="C1" s="24"/>
      <c r="D1" s="24"/>
      <c r="E1" s="24"/>
      <c r="F1" s="24"/>
      <c r="G1" s="24"/>
      <c r="H1" s="24"/>
      <c r="I1" s="24"/>
      <c r="J1" s="24"/>
    </row>
    <row r="2" spans="1:14" x14ac:dyDescent="0.2">
      <c r="M2" t="s">
        <v>754</v>
      </c>
      <c r="N2" t="s">
        <v>755</v>
      </c>
    </row>
    <row r="3" spans="1:14" x14ac:dyDescent="0.2">
      <c r="M3" t="s">
        <v>733</v>
      </c>
      <c r="N3">
        <f>COUNTIFS(tPed[ID Pedido],"&lt;&gt;"&amp;"")</f>
        <v>300</v>
      </c>
    </row>
    <row r="4" spans="1:14" x14ac:dyDescent="0.2">
      <c r="A4" s="31" t="s">
        <v>767</v>
      </c>
      <c r="B4" s="24"/>
      <c r="C4" s="24"/>
      <c r="D4" s="24"/>
      <c r="F4" s="32" t="s">
        <v>746</v>
      </c>
      <c r="G4" s="24"/>
      <c r="H4" s="24"/>
      <c r="I4" s="24"/>
      <c r="M4" t="s">
        <v>746</v>
      </c>
      <c r="N4">
        <f>COUNTIFS(tPed[Status],"Entregue")</f>
        <v>300</v>
      </c>
    </row>
    <row r="5" spans="1:14" x14ac:dyDescent="0.2">
      <c r="A5" s="33">
        <f>COUNTIFS([1]!tPed[ID Pedido],"&lt;&gt;"&amp;"")</f>
        <v>300</v>
      </c>
      <c r="B5" s="24"/>
      <c r="C5" s="24"/>
      <c r="D5" s="24"/>
      <c r="F5" s="34">
        <f>COUNTIFS([1]!tPed[Status],"Entregue")</f>
        <v>300</v>
      </c>
      <c r="G5" s="24"/>
      <c r="H5" s="24"/>
      <c r="I5" s="24"/>
      <c r="M5" t="s">
        <v>747</v>
      </c>
      <c r="N5">
        <f>COUNTIF(tPed[Dias Atraso],"&gt;0")</f>
        <v>69</v>
      </c>
    </row>
    <row r="6" spans="1:14" x14ac:dyDescent="0.2">
      <c r="A6" s="24"/>
      <c r="B6" s="24"/>
      <c r="C6" s="24"/>
      <c r="D6" s="24"/>
      <c r="F6" s="24"/>
      <c r="G6" s="24"/>
      <c r="H6" s="24"/>
      <c r="I6" s="24"/>
      <c r="M6" t="s">
        <v>756</v>
      </c>
      <c r="N6" s="21">
        <f>IFERROR(N5/N4,0)</f>
        <v>0.23</v>
      </c>
    </row>
    <row r="7" spans="1:14" x14ac:dyDescent="0.2">
      <c r="A7" s="24"/>
      <c r="B7" s="24"/>
      <c r="C7" s="24"/>
      <c r="D7" s="24"/>
      <c r="F7" s="24"/>
      <c r="G7" s="24"/>
      <c r="H7" s="24"/>
      <c r="I7" s="24"/>
      <c r="M7" t="s">
        <v>748</v>
      </c>
      <c r="N7" s="21">
        <f>IFERROR(COUNTIFS(tPed[Dias Atraso],"="&amp;0,tPed[Status],"Entregue")/COUNTIFS(tPed[Status],"Entregue"),0)</f>
        <v>0.77</v>
      </c>
    </row>
    <row r="8" spans="1:14" x14ac:dyDescent="0.2">
      <c r="M8" t="s">
        <v>62</v>
      </c>
      <c r="N8" s="18">
        <f>SUM(tPed[Valor Total])</f>
        <v>3466688</v>
      </c>
    </row>
    <row r="9" spans="1:14" x14ac:dyDescent="0.2">
      <c r="A9" s="35" t="s">
        <v>747</v>
      </c>
      <c r="B9" s="24"/>
      <c r="C9" s="24"/>
      <c r="D9" s="24"/>
      <c r="F9" s="32" t="s">
        <v>768</v>
      </c>
      <c r="G9" s="24"/>
      <c r="H9" s="24"/>
      <c r="I9" s="24"/>
      <c r="M9" t="s">
        <v>749</v>
      </c>
      <c r="N9" s="19">
        <f>SUMIFS(tPed[Valor Total],tPed[Dias Atraso],"&gt;"&amp;0)</f>
        <v>528244</v>
      </c>
    </row>
    <row r="10" spans="1:14" x14ac:dyDescent="0.2">
      <c r="A10" s="36">
        <f>COUNTIFS([1]!tPed[Dias Atraso],"&gt;"&amp;0)</f>
        <v>69</v>
      </c>
      <c r="B10" s="24"/>
      <c r="C10" s="24"/>
      <c r="D10" s="24"/>
      <c r="F10" s="37">
        <f>IFERROR(COUNTIFS([1]!tPed[Dias Atraso],"="&amp;0,[1]!tPed[Status],"Entregue")/COUNTIFS([1]!tPed[Status],"Entregue"),0)</f>
        <v>0.77</v>
      </c>
      <c r="G10" s="24"/>
      <c r="H10" s="24"/>
      <c r="I10" s="24"/>
      <c r="M10" t="s">
        <v>750</v>
      </c>
      <c r="N10" s="20">
        <f>AVERAGEIFS(tPed[Lead Time],tPed[Status],"Entregue")</f>
        <v>8.8133333333333326</v>
      </c>
    </row>
    <row r="11" spans="1:14" x14ac:dyDescent="0.2">
      <c r="A11" s="24"/>
      <c r="B11" s="24"/>
      <c r="C11" s="24"/>
      <c r="D11" s="24"/>
      <c r="F11" s="24"/>
      <c r="G11" s="24"/>
      <c r="H11" s="24"/>
      <c r="I11" s="24"/>
      <c r="M11" t="s">
        <v>751</v>
      </c>
      <c r="N11">
        <f>COUNTIF(tForn[Ativo],TRUE())</f>
        <v>14</v>
      </c>
    </row>
    <row r="12" spans="1:14" x14ac:dyDescent="0.2">
      <c r="A12" s="24"/>
      <c r="B12" s="24"/>
      <c r="C12" s="24"/>
      <c r="D12" s="24"/>
      <c r="F12" s="24"/>
      <c r="G12" s="24"/>
      <c r="H12" s="24"/>
      <c r="I12" s="24"/>
      <c r="N12" s="13"/>
    </row>
    <row r="14" spans="1:14" x14ac:dyDescent="0.2">
      <c r="A14" s="35" t="s">
        <v>769</v>
      </c>
      <c r="B14" s="24"/>
      <c r="C14" s="24"/>
      <c r="D14" s="24"/>
      <c r="F14" s="31" t="s">
        <v>770</v>
      </c>
      <c r="G14" s="24"/>
      <c r="H14" s="24"/>
      <c r="I14" s="24"/>
    </row>
    <row r="15" spans="1:14" x14ac:dyDescent="0.2">
      <c r="A15" s="41">
        <f>IFERROR(COUNTIFS([1]!tPed[Dias Atraso],"&gt;"&amp;0)/COUNTIFS([1]!tPed[Status],"Entregue"),0)</f>
        <v>0.23</v>
      </c>
      <c r="B15" s="24"/>
      <c r="C15" s="24"/>
      <c r="D15" s="24"/>
      <c r="F15" s="42">
        <f>SUM([1]!tPed[Valor Total])</f>
        <v>3466688</v>
      </c>
      <c r="G15" s="24"/>
      <c r="H15" s="24"/>
      <c r="I15" s="24"/>
    </row>
    <row r="16" spans="1:14" x14ac:dyDescent="0.2">
      <c r="A16" s="24"/>
      <c r="B16" s="24"/>
      <c r="C16" s="24"/>
      <c r="D16" s="24"/>
      <c r="F16" s="24"/>
      <c r="G16" s="24"/>
      <c r="H16" s="24"/>
      <c r="I16" s="24"/>
    </row>
    <row r="17" spans="1:9" x14ac:dyDescent="0.2">
      <c r="A17" s="24"/>
      <c r="B17" s="24"/>
      <c r="C17" s="24"/>
      <c r="D17" s="24"/>
      <c r="F17" s="24"/>
      <c r="G17" s="24"/>
      <c r="H17" s="24"/>
      <c r="I17" s="24"/>
    </row>
    <row r="19" spans="1:9" x14ac:dyDescent="0.2">
      <c r="A19" s="35" t="s">
        <v>771</v>
      </c>
      <c r="B19" s="24"/>
      <c r="C19" s="24"/>
      <c r="D19" s="24"/>
      <c r="F19" s="31" t="s">
        <v>772</v>
      </c>
      <c r="G19" s="24"/>
      <c r="H19" s="24"/>
      <c r="I19" s="24"/>
    </row>
    <row r="20" spans="1:9" x14ac:dyDescent="0.2">
      <c r="A20" s="43">
        <f>SUMIFS([1]!tPed[Valor Total],[1]!tPed[Dias Atraso],"&gt;"&amp;0)</f>
        <v>528244</v>
      </c>
      <c r="B20" s="24"/>
      <c r="C20" s="24"/>
      <c r="D20" s="24"/>
      <c r="F20" s="42">
        <f>IFERROR(SUM([1]!tPed[Valor Total])/COUNTIFS([1]!tPed[ID Pedido],"&lt;&gt;"&amp;""),0)</f>
        <v>11555.626666666667</v>
      </c>
      <c r="G20" s="24"/>
      <c r="H20" s="24"/>
      <c r="I20" s="24"/>
    </row>
    <row r="21" spans="1:9" x14ac:dyDescent="0.2">
      <c r="A21" s="24"/>
      <c r="B21" s="24"/>
      <c r="C21" s="24"/>
      <c r="D21" s="24"/>
      <c r="F21" s="24"/>
      <c r="G21" s="24"/>
      <c r="H21" s="24"/>
      <c r="I21" s="24"/>
    </row>
    <row r="22" spans="1:9" x14ac:dyDescent="0.2">
      <c r="A22" s="24"/>
      <c r="B22" s="24"/>
      <c r="C22" s="24"/>
      <c r="D22" s="24"/>
      <c r="F22" s="24"/>
      <c r="G22" s="24"/>
      <c r="H22" s="24"/>
      <c r="I22" s="24"/>
    </row>
    <row r="24" spans="1:9" x14ac:dyDescent="0.2">
      <c r="A24" s="38" t="s">
        <v>773</v>
      </c>
      <c r="B24" s="24"/>
      <c r="C24" s="24"/>
      <c r="D24" s="24"/>
      <c r="F24" s="31" t="s">
        <v>751</v>
      </c>
      <c r="G24" s="24"/>
      <c r="H24" s="24"/>
      <c r="I24" s="24"/>
    </row>
    <row r="25" spans="1:9" x14ac:dyDescent="0.2">
      <c r="A25" s="39">
        <f>AVERAGEIFS([1]!tPed[Lead Time],[1]!tPed[Status],"Entregue")</f>
        <v>8.8133333333333326</v>
      </c>
      <c r="B25" s="40"/>
      <c r="C25" s="40"/>
      <c r="D25" s="40"/>
      <c r="F25" s="33">
        <f>N11</f>
        <v>14</v>
      </c>
      <c r="G25" s="24"/>
      <c r="H25" s="24"/>
      <c r="I25" s="24"/>
    </row>
    <row r="26" spans="1:9" x14ac:dyDescent="0.2">
      <c r="A26" s="40"/>
      <c r="B26" s="40"/>
      <c r="C26" s="40"/>
      <c r="D26" s="40"/>
      <c r="F26" s="24"/>
      <c r="G26" s="24"/>
      <c r="H26" s="24"/>
      <c r="I26" s="24"/>
    </row>
    <row r="27" spans="1:9" x14ac:dyDescent="0.2">
      <c r="A27" s="40"/>
      <c r="B27" s="40"/>
      <c r="C27" s="40"/>
      <c r="D27" s="40"/>
      <c r="F27" s="24"/>
      <c r="G27" s="24"/>
      <c r="H27" s="24"/>
      <c r="I27" s="24"/>
    </row>
  </sheetData>
  <mergeCells count="21">
    <mergeCell ref="A24:D24"/>
    <mergeCell ref="F24:I24"/>
    <mergeCell ref="A25:D27"/>
    <mergeCell ref="F25:I27"/>
    <mergeCell ref="A15:D17"/>
    <mergeCell ref="F15:I17"/>
    <mergeCell ref="A19:D19"/>
    <mergeCell ref="F19:I19"/>
    <mergeCell ref="A20:D22"/>
    <mergeCell ref="F20:I22"/>
    <mergeCell ref="A9:D9"/>
    <mergeCell ref="F9:I9"/>
    <mergeCell ref="A10:D12"/>
    <mergeCell ref="F10:I12"/>
    <mergeCell ref="A14:D14"/>
    <mergeCell ref="F14:I14"/>
    <mergeCell ref="A1:J1"/>
    <mergeCell ref="A4:D4"/>
    <mergeCell ref="F4:I4"/>
    <mergeCell ref="A5:D7"/>
    <mergeCell ref="F5:I7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B62B-8B02-4ED5-A11C-BD8D7701527D}">
  <dimension ref="A1"/>
  <sheetViews>
    <sheetView showGridLines="0" zoomScale="70" zoomScaleNormal="70" workbookViewId="0">
      <selection activeCell="Q25" sqref="Q25"/>
    </sheetView>
  </sheetViews>
  <sheetFormatPr defaultRowHeight="14.25" x14ac:dyDescent="0.2"/>
  <cols>
    <col min="1" max="16384" width="9" style="45"/>
  </cols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2E31-04C2-41E7-9159-84D308EE8D07}">
  <dimension ref="A1"/>
  <sheetViews>
    <sheetView showGridLines="0" topLeftCell="A26" zoomScale="93" zoomScaleNormal="93" workbookViewId="0">
      <selection activeCell="J9" sqref="J9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Fornecedores</vt:lpstr>
      <vt:lpstr>Pedidos</vt:lpstr>
      <vt:lpstr>Analise</vt:lpstr>
      <vt:lpstr>Tabelas Dinamicas</vt:lpstr>
      <vt:lpstr>Painel KPIs</vt:lpstr>
      <vt:lpstr>Planilha3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Diegues - Ispersul Engenharia</cp:lastModifiedBy>
  <dcterms:created xsi:type="dcterms:W3CDTF">2026-05-26T15:13:44Z</dcterms:created>
  <dcterms:modified xsi:type="dcterms:W3CDTF">2026-06-11T13:21:41Z</dcterms:modified>
</cp:coreProperties>
</file>